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佛山测试图片\"/>
    </mc:Choice>
  </mc:AlternateContent>
  <bookViews>
    <workbookView windowWidth="23240" windowHeight="11810"/>
  </bookViews>
  <sheets>
    <sheet name="开发明细表" sheetId="1" r:id="rId1"/>
  </sheets>
  <externalReferences>
    <externalReference r:id="rId3"/>
  </externalReferences>
  <definedNames>
    <definedName name="_xlnm._FilterDatabase" localSheetId="0" hidden="1">开发明细表!$A$1:$FQ$3</definedName>
    <definedName name="版型定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870" name="ID_9E8B45BE9E824B3EB294784BEFDF8B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14975" y="158711900"/>
          <a:ext cx="10944225" cy="398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87" name="ID_F3A2018B665E47BC84B9B3AE494F12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14975" y="159346900"/>
          <a:ext cx="10696575" cy="392430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ren</author>
    <author>jelly</author>
    <author>74218</author>
    <author>Unknown User</author>
  </authors>
  <commentList>
    <comment ref="AQ1" authorId="0">
      <text>
        <r>
          <rPr>
            <b/>
            <sz val="11"/>
            <rFont val="微软雅黑"/>
            <charset val="134"/>
          </rPr>
          <t>天猫主推款抖音、拼多多等其他的任何渠道在天猫上新7天后方可上线，不可早于天猫上架</t>
        </r>
      </text>
    </comment>
    <comment ref="AT1" authorId="1">
      <text>
        <r>
          <rPr>
            <b/>
            <sz val="10"/>
            <rFont val="宋体"/>
            <charset val="134"/>
          </rPr>
          <t>天猫/唯品/抖音运营定级：S+、S层级
商品企划定级：SA层级</t>
        </r>
      </text>
    </comment>
    <comment ref="BY1" authorId="0">
      <text>
        <r>
          <rPr>
            <b/>
            <sz val="11"/>
            <rFont val="宋体"/>
            <charset val="134"/>
          </rPr>
          <t>＜3天即异常</t>
        </r>
      </text>
    </comment>
    <comment ref="CC1" authorId="0">
      <text>
        <r>
          <rPr>
            <sz val="11"/>
            <rFont val="微软雅黑"/>
            <charset val="134"/>
          </rPr>
          <t xml:space="preserve">登记洗水唛和吊牌异常问题
</t>
        </r>
      </text>
    </comment>
    <comment ref="CO1" authorId="2">
      <text>
        <r>
          <rPr>
            <sz val="9"/>
            <rFont val="宋体"/>
            <charset val="134"/>
          </rPr>
          <t>唯品平台需求</t>
        </r>
      </text>
    </comment>
    <comment ref="CP1" authorId="2">
      <text>
        <r>
          <rPr>
            <sz val="9"/>
            <rFont val="宋体"/>
            <charset val="134"/>
          </rPr>
          <t>唯品平台需求</t>
        </r>
      </text>
    </comment>
    <comment ref="CQ1" authorId="2">
      <text>
        <r>
          <rPr>
            <sz val="9"/>
            <rFont val="宋体"/>
            <charset val="134"/>
          </rPr>
          <t>唯品平台需求</t>
        </r>
      </text>
    </comment>
    <comment ref="DC1" authorId="1">
      <text>
        <r>
          <rPr>
            <b/>
            <sz val="10"/>
            <rFont val="宋体"/>
            <charset val="134"/>
          </rPr>
          <t>天猫/唯品/抖音运营定级：S+、S层级
商品企划定级：SA层级</t>
        </r>
      </text>
    </comment>
    <comment ref="EJ1" authorId="3">
      <text>
        <r>
          <rPr>
            <b/>
            <sz val="9"/>
            <rFont val="宋体"/>
            <charset val="134"/>
          </rPr>
          <t>锦雀:</t>
        </r>
        <r>
          <rPr>
            <sz val="9"/>
            <rFont val="宋体"/>
            <charset val="134"/>
          </rPr>
          <t xml:space="preserve">
AI模特-静物拍摄静物</t>
        </r>
      </text>
    </comment>
    <comment ref="FF1" authorId="3">
      <text>
        <r>
          <rPr>
            <b/>
            <sz val="9"/>
            <rFont val="宋体"/>
            <charset val="134"/>
          </rPr>
          <t>锦雀:</t>
        </r>
        <r>
          <rPr>
            <sz val="9"/>
            <rFont val="宋体"/>
            <charset val="134"/>
          </rPr>
          <t xml:space="preserve">
是：页面模特图已完成
否：页面模特图未完成</t>
        </r>
      </text>
    </comment>
    <comment ref="FG1" authorId="3">
      <text>
        <r>
          <rPr>
            <b/>
            <sz val="9"/>
            <rFont val="宋体"/>
            <charset val="134"/>
          </rPr>
          <t>锦雀:</t>
        </r>
        <r>
          <rPr>
            <sz val="9"/>
            <rFont val="宋体"/>
            <charset val="134"/>
          </rPr>
          <t xml:space="preserve">
是：主图视频已完成上传
否：主图视频未完成上传</t>
        </r>
      </text>
    </comment>
  </commentList>
</comments>
</file>

<file path=xl/sharedStrings.xml><?xml version="1.0" encoding="utf-8"?>
<sst xmlns="http://schemas.openxmlformats.org/spreadsheetml/2006/main" count="214" uniqueCount="178">
  <si>
    <t>出稿设计师</t>
  </si>
  <si>
    <t>跟进设计师</t>
  </si>
  <si>
    <t>货期表识别</t>
  </si>
  <si>
    <t>款号</t>
  </si>
  <si>
    <t>图片</t>
  </si>
  <si>
    <t>季节代码</t>
  </si>
  <si>
    <t>性别代码</t>
  </si>
  <si>
    <t>SKC</t>
  </si>
  <si>
    <t>季节</t>
  </si>
  <si>
    <t>性别</t>
  </si>
  <si>
    <t>年龄层</t>
  </si>
  <si>
    <t>尺码段</t>
  </si>
  <si>
    <t>品类</t>
  </si>
  <si>
    <t>二级品类</t>
  </si>
  <si>
    <t>三级品类</t>
  </si>
  <si>
    <t>下装版型</t>
  </si>
  <si>
    <t>唯品基础年龄层</t>
  </si>
  <si>
    <t>唯品三级类目</t>
  </si>
  <si>
    <t>唯品主款式</t>
  </si>
  <si>
    <t>唯品吊牌价上限</t>
  </si>
  <si>
    <t>调整吊牌价日期</t>
  </si>
  <si>
    <t>特殊面料</t>
  </si>
  <si>
    <t>红色/新年系列</t>
  </si>
  <si>
    <t>红色/新年系列-SKC</t>
  </si>
  <si>
    <t>商品层级</t>
  </si>
  <si>
    <t>风格</t>
  </si>
  <si>
    <t>产品系列</t>
  </si>
  <si>
    <t>属性</t>
  </si>
  <si>
    <t>绒种</t>
  </si>
  <si>
    <t>天气</t>
  </si>
  <si>
    <t>拍摄场景感</t>
  </si>
  <si>
    <t>吊牌价折扣</t>
  </si>
  <si>
    <t>吊牌价</t>
  </si>
  <si>
    <t>商品定价</t>
  </si>
  <si>
    <t>商品分码日期</t>
  </si>
  <si>
    <t>设计下单时间</t>
  </si>
  <si>
    <t>首单实际下单数</t>
  </si>
  <si>
    <t>链接完成时间</t>
  </si>
  <si>
    <t>最早上新时间</t>
  </si>
  <si>
    <t>天猫上新时间</t>
  </si>
  <si>
    <t>唯品上新时间</t>
  </si>
  <si>
    <t>天猫专卖店&amp;淘宝店上新日期</t>
  </si>
  <si>
    <t>抖音及其他平台上新时间</t>
  </si>
  <si>
    <t>商品要求货期</t>
  </si>
  <si>
    <t>主推平台</t>
  </si>
  <si>
    <t>视觉重要层级</t>
  </si>
  <si>
    <t>生产重要等级</t>
  </si>
  <si>
    <t>上新调整备注</t>
  </si>
  <si>
    <t>参考链接1</t>
  </si>
  <si>
    <t>参考链接2</t>
  </si>
  <si>
    <t>详情页特别说明</t>
  </si>
  <si>
    <t>天猫发布链接备注</t>
  </si>
  <si>
    <t>唯品发布链接备注</t>
  </si>
  <si>
    <t>静物吊牌&amp;洗水唛拍摄备注</t>
  </si>
  <si>
    <t>是否需要拍创意图</t>
  </si>
  <si>
    <t>搭配参考</t>
  </si>
  <si>
    <t>强搭配</t>
  </si>
  <si>
    <t>天猫第一张主图主色</t>
  </si>
  <si>
    <t>细节主色</t>
  </si>
  <si>
    <t>静物样衣颜色</t>
  </si>
  <si>
    <t>静物样衣尺码</t>
  </si>
  <si>
    <t>模特主拍颜色</t>
  </si>
  <si>
    <t>模特拍摄颜色</t>
  </si>
  <si>
    <t>模拍尺码</t>
  </si>
  <si>
    <t>模特</t>
  </si>
  <si>
    <t>拍摄模特类型</t>
  </si>
  <si>
    <t>实拍&amp;视频主色备注</t>
  </si>
  <si>
    <t>模特拍摄要求备注</t>
  </si>
  <si>
    <t>模特样衣备注</t>
  </si>
  <si>
    <t>样衣调整</t>
  </si>
  <si>
    <t>样衣调整时间</t>
  </si>
  <si>
    <t>工厂交样衣（计划）</t>
  </si>
  <si>
    <t>工厂交样（实际）</t>
  </si>
  <si>
    <t>算法-是否准期</t>
  </si>
  <si>
    <t>样衣生产周期</t>
  </si>
  <si>
    <t>品牌处理天数</t>
  </si>
  <si>
    <t>排样异常</t>
  </si>
  <si>
    <t>静物样衣需求时间</t>
  </si>
  <si>
    <t>模特样衣需求时间</t>
  </si>
  <si>
    <t>样衣情况</t>
  </si>
  <si>
    <t>样衣异常登记</t>
  </si>
  <si>
    <t>设计下单排期</t>
  </si>
  <si>
    <t>计划交样/周</t>
  </si>
  <si>
    <t>计划交样/月</t>
  </si>
  <si>
    <t>商品开发信息备注</t>
  </si>
  <si>
    <t>领型</t>
  </si>
  <si>
    <t>袖型</t>
  </si>
  <si>
    <t>版型</t>
  </si>
  <si>
    <t>衣长</t>
  </si>
  <si>
    <t>元素</t>
  </si>
  <si>
    <t>面料</t>
  </si>
  <si>
    <t>功能</t>
  </si>
  <si>
    <t>运动</t>
  </si>
  <si>
    <t>穿搭</t>
  </si>
  <si>
    <t>特色</t>
  </si>
  <si>
    <t>模特拍摄时间</t>
  </si>
  <si>
    <t>模特拍摄时间（初定）</t>
  </si>
  <si>
    <t>功能面料拍摄需求&amp;参考</t>
  </si>
  <si>
    <t>拍摄场景</t>
  </si>
  <si>
    <t>样衣计划异常</t>
  </si>
  <si>
    <t>修图排期异常排查</t>
  </si>
  <si>
    <t>AI排期异常排查</t>
  </si>
  <si>
    <t>计划交样日期</t>
  </si>
  <si>
    <t>实际交样日期</t>
  </si>
  <si>
    <t>文案策划计划日期</t>
  </si>
  <si>
    <t>文案策划实际日期</t>
  </si>
  <si>
    <t>文案组备注信息</t>
  </si>
  <si>
    <t>重点等级</t>
  </si>
  <si>
    <t>模特修图是否准期</t>
  </si>
  <si>
    <t>AI方案计划日期</t>
  </si>
  <si>
    <t>AI/实拍方案方案时间完成日期</t>
  </si>
  <si>
    <t>AI方案路径</t>
  </si>
  <si>
    <t>AI方案是否准期</t>
  </si>
  <si>
    <t>延期或排期调整备注</t>
  </si>
  <si>
    <t>AI模特/实拍模特完成日期</t>
  </si>
  <si>
    <t>AI模特/实拍模特实际完成日期</t>
  </si>
  <si>
    <t>AI模特审核日期</t>
  </si>
  <si>
    <t xml:space="preserve">AI模特备注 </t>
  </si>
  <si>
    <t>AI/拍摄未完成颜色备注</t>
  </si>
  <si>
    <t>模特原图路径</t>
  </si>
  <si>
    <t>模特进度是否准期</t>
  </si>
  <si>
    <t>AI模特异常备注</t>
  </si>
  <si>
    <t>调整信息备注</t>
  </si>
  <si>
    <t>静物计划拍摄日期</t>
  </si>
  <si>
    <t>静物实际拍摄日期</t>
  </si>
  <si>
    <t>静物拍摄备注信息</t>
  </si>
  <si>
    <t>静物延续拍摄原因</t>
  </si>
  <si>
    <t>差异天数</t>
  </si>
  <si>
    <t>静物拍摄是否准期</t>
  </si>
  <si>
    <t>静物修图计划日期</t>
  </si>
  <si>
    <t>静物修图实际日期</t>
  </si>
  <si>
    <t>修图负责人</t>
  </si>
  <si>
    <t>静物修图是否准期</t>
  </si>
  <si>
    <t>模特修图计划日期</t>
  </si>
  <si>
    <t>模特修图实际日期</t>
  </si>
  <si>
    <t>模特修图张数</t>
  </si>
  <si>
    <t>模特已修图路径</t>
  </si>
  <si>
    <t>模特图效果备注</t>
  </si>
  <si>
    <t>主图视频计划日期</t>
  </si>
  <si>
    <t>主图视频实际完成日期</t>
  </si>
  <si>
    <t>主图视频是否准期</t>
  </si>
  <si>
    <t>页面排版计划日期</t>
  </si>
  <si>
    <t>实际排版完成日期</t>
  </si>
  <si>
    <t>排版负责人</t>
  </si>
  <si>
    <t>排版是否准期</t>
  </si>
  <si>
    <t>页面模特上传进度</t>
  </si>
  <si>
    <t>页面视频上传进度</t>
  </si>
  <si>
    <t>页面排版完成日期</t>
  </si>
  <si>
    <t>上新日期</t>
  </si>
  <si>
    <t>是否已完成</t>
  </si>
  <si>
    <t>A类或纯棉报告计划完成日期</t>
  </si>
  <si>
    <t>A类或纯棉报告实际完成日期</t>
  </si>
  <si>
    <t>A类报告文件名称</t>
  </si>
  <si>
    <t>纯棉报告文件名称</t>
  </si>
  <si>
    <t>是否需要做A类报告</t>
  </si>
  <si>
    <t>是否需要做纯棉报告</t>
  </si>
  <si>
    <t>报告是否准期</t>
  </si>
  <si>
    <t>金佩</t>
  </si>
  <si>
    <t>张嫚</t>
  </si>
  <si>
    <t>JJG64886</t>
  </si>
  <si>
    <t>120-160</t>
  </si>
  <si>
    <t>毛绒外套</t>
  </si>
  <si>
    <t>羊羔绒外套</t>
  </si>
  <si>
    <t>10A抗菌+远红外</t>
  </si>
  <si>
    <t>尝新款</t>
  </si>
  <si>
    <t>元气萌趣</t>
  </si>
  <si>
    <t>奶甜童话</t>
  </si>
  <si>
    <t>https://detail.tmall.com/item.htm?id=981450860007&amp;ns=1&amp;abbucket=12&amp;xxc=taobaoSearch&amp;mi_id=0000Dt1OfwZzOGGb7lNzqWIezvSw4SNlNfazHiLesP9xGRo&amp;skuId=6103474694231&amp;priceTId=214784aa17826199127448264e1922&amp;utparam=%7B%22aplus_abtest%22%3A%22797d06b459ca089f404e56eb6519e986%22%7D&amp;spm=a21n57.imgsearch.item.1</t>
  </si>
  <si>
    <t>杏底花</t>
  </si>
  <si>
    <t>齐色</t>
  </si>
  <si>
    <t>最小码</t>
  </si>
  <si>
    <t>/</t>
  </si>
  <si>
    <t>AI-120女童</t>
  </si>
  <si>
    <t>AI</t>
  </si>
  <si>
    <t>JJG64887</t>
  </si>
  <si>
    <t>利润款</t>
  </si>
  <si>
    <t>https://item.taobao.com/item.htm?id=861795403455&amp;sku_properties=20509%3A4024027</t>
  </si>
  <si>
    <t>粉色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</si>
</sst>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);[Red]\(0.00\)"/>
    <numFmt numFmtId="178" formatCode="m&quot;月&quot;d&quot;日&quot;;@"/>
    <numFmt numFmtId="179" formatCode="[=0]&quot;&quot;;General"/>
    <numFmt numFmtId="180" formatCode="yyyy&quot;年&quot;m&quot;月&quot;d&quot;日&quot;;@"/>
    <numFmt numFmtId="181" formatCode="yyyy/m/d;@"/>
  </numFmts>
  <fonts count="42">
    <font>
      <sz val="12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1"/>
      <color rgb="FFC00000"/>
      <name val="微软雅黑"/>
      <charset val="134"/>
    </font>
    <font>
      <b/>
      <sz val="11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b/>
      <sz val="10"/>
      <color theme="4" tint="-0.5"/>
      <name val="微软雅黑"/>
      <charset val="134"/>
    </font>
    <font>
      <b/>
      <sz val="11"/>
      <color theme="0"/>
      <name val="微软雅黑"/>
      <charset val="134"/>
    </font>
    <font>
      <b/>
      <sz val="12"/>
      <color theme="0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1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20" applyNumberFormat="0" applyAlignment="0" applyProtection="0">
      <alignment vertical="center"/>
    </xf>
    <xf numFmtId="0" fontId="28" fillId="13" borderId="21" applyNumberFormat="0" applyAlignment="0" applyProtection="0">
      <alignment vertical="center"/>
    </xf>
    <xf numFmtId="0" fontId="29" fillId="13" borderId="20" applyNumberFormat="0" applyAlignment="0" applyProtection="0">
      <alignment vertical="center"/>
    </xf>
    <xf numFmtId="0" fontId="30" fillId="14" borderId="22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176" fontId="5" fillId="5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77" fontId="7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178" fontId="3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178" fontId="9" fillId="7" borderId="0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 shrinkToFit="1"/>
    </xf>
    <xf numFmtId="0" fontId="2" fillId="9" borderId="0" xfId="0" applyFont="1" applyFill="1" applyBorder="1" applyAlignment="1">
      <alignment horizontal="center" vertical="center" wrapText="1"/>
    </xf>
    <xf numFmtId="0" fontId="11" fillId="9" borderId="0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 wrapText="1"/>
    </xf>
    <xf numFmtId="176" fontId="2" fillId="9" borderId="0" xfId="0" applyNumberFormat="1" applyFont="1" applyFill="1" applyBorder="1" applyAlignment="1">
      <alignment horizontal="center" vertical="center" wrapText="1"/>
    </xf>
    <xf numFmtId="178" fontId="11" fillId="8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8" fontId="12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179" fontId="2" fillId="0" borderId="0" xfId="0" applyNumberFormat="1" applyFont="1" applyBorder="1" applyAlignment="1">
      <alignment horizontal="center" vertical="center" wrapText="1"/>
    </xf>
    <xf numFmtId="178" fontId="2" fillId="0" borderId="0" xfId="0" applyNumberFormat="1" applyFont="1" applyBorder="1" applyAlignment="1">
      <alignment horizontal="center" vertical="center" wrapText="1"/>
    </xf>
    <xf numFmtId="179" fontId="2" fillId="4" borderId="1" xfId="0" applyNumberFormat="1" applyFont="1" applyFill="1" applyBorder="1" applyAlignment="1">
      <alignment horizontal="center" vertical="center" wrapText="1"/>
    </xf>
    <xf numFmtId="179" fontId="2" fillId="4" borderId="0" xfId="0" applyNumberFormat="1" applyFont="1" applyFill="1" applyBorder="1" applyAlignment="1">
      <alignment horizontal="center" vertical="center" wrapText="1"/>
    </xf>
    <xf numFmtId="179" fontId="7" fillId="4" borderId="0" xfId="0" applyNumberFormat="1" applyFont="1" applyFill="1" applyBorder="1" applyAlignment="1">
      <alignment horizontal="center" vertical="center" wrapText="1"/>
    </xf>
    <xf numFmtId="0" fontId="8" fillId="4" borderId="0" xfId="0" applyNumberFormat="1" applyFont="1" applyFill="1" applyBorder="1" applyAlignment="1">
      <alignment horizontal="center" vertical="center" wrapText="1"/>
    </xf>
    <xf numFmtId="179" fontId="8" fillId="4" borderId="0" xfId="0" applyNumberFormat="1" applyFont="1" applyFill="1" applyBorder="1" applyAlignment="1">
      <alignment horizontal="center" vertical="center" wrapText="1"/>
    </xf>
    <xf numFmtId="178" fontId="7" fillId="4" borderId="0" xfId="0" applyNumberFormat="1" applyFont="1" applyFill="1" applyBorder="1" applyAlignment="1">
      <alignment horizontal="center" vertical="center" wrapText="1"/>
    </xf>
    <xf numFmtId="178" fontId="7" fillId="4" borderId="2" xfId="0" applyNumberFormat="1" applyFont="1" applyFill="1" applyBorder="1" applyAlignment="1">
      <alignment horizontal="center" vertical="center" wrapText="1"/>
    </xf>
    <xf numFmtId="178" fontId="13" fillId="3" borderId="3" xfId="0" applyNumberFormat="1" applyFont="1" applyFill="1" applyBorder="1" applyAlignment="1">
      <alignment horizontal="center" vertical="center" wrapText="1"/>
    </xf>
    <xf numFmtId="178" fontId="13" fillId="3" borderId="0" xfId="0" applyNumberFormat="1" applyFont="1" applyFill="1" applyBorder="1" applyAlignment="1">
      <alignment horizontal="center" vertical="center" wrapText="1"/>
    </xf>
    <xf numFmtId="0" fontId="13" fillId="3" borderId="0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vertical="center" wrapText="1"/>
    </xf>
    <xf numFmtId="178" fontId="13" fillId="3" borderId="1" xfId="0" applyNumberFormat="1" applyFont="1" applyFill="1" applyBorder="1" applyAlignment="1">
      <alignment horizontal="center" vertical="center" wrapText="1"/>
    </xf>
    <xf numFmtId="179" fontId="13" fillId="3" borderId="0" xfId="0" applyNumberFormat="1" applyFont="1" applyFill="1" applyBorder="1" applyAlignment="1">
      <alignment horizontal="center" vertical="center" wrapText="1"/>
    </xf>
    <xf numFmtId="178" fontId="8" fillId="0" borderId="0" xfId="0" applyNumberFormat="1" applyFont="1" applyFill="1" applyBorder="1" applyAlignment="1">
      <alignment horizontal="center" vertical="center" wrapText="1"/>
    </xf>
    <xf numFmtId="179" fontId="8" fillId="0" borderId="0" xfId="0" applyNumberFormat="1" applyFont="1" applyFill="1" applyBorder="1" applyAlignment="1">
      <alignment horizontal="center" vertical="center" wrapText="1"/>
    </xf>
    <xf numFmtId="179" fontId="8" fillId="0" borderId="4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 wrapText="1"/>
    </xf>
    <xf numFmtId="0" fontId="14" fillId="3" borderId="4" xfId="0" applyFont="1" applyFill="1" applyBorder="1" applyAlignment="1" applyProtection="1">
      <alignment vertical="center" wrapText="1"/>
      <protection locked="0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178" fontId="13" fillId="3" borderId="3" xfId="0" applyNumberFormat="1" applyFont="1" applyFill="1" applyBorder="1" applyAlignment="1">
      <alignment horizontal="center" vertical="center"/>
    </xf>
    <xf numFmtId="0" fontId="13" fillId="3" borderId="0" xfId="0" applyNumberFormat="1" applyFont="1" applyFill="1" applyBorder="1" applyAlignment="1">
      <alignment horizontal="center" vertical="center"/>
    </xf>
    <xf numFmtId="0" fontId="13" fillId="3" borderId="4" xfId="0" applyNumberFormat="1" applyFont="1" applyFill="1" applyBorder="1" applyAlignment="1">
      <alignment horizontal="center" vertical="center"/>
    </xf>
    <xf numFmtId="178" fontId="16" fillId="10" borderId="0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 wrapText="1"/>
    </xf>
    <xf numFmtId="178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 shrinkToFit="1"/>
    </xf>
    <xf numFmtId="179" fontId="1" fillId="2" borderId="5" xfId="0" applyNumberFormat="1" applyFont="1" applyFill="1" applyBorder="1" applyAlignment="1">
      <alignment horizontal="center" vertical="center" wrapText="1"/>
    </xf>
    <xf numFmtId="179" fontId="1" fillId="2" borderId="7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178" fontId="1" fillId="2" borderId="8" xfId="0" applyNumberFormat="1" applyFont="1" applyFill="1" applyBorder="1" applyAlignment="1">
      <alignment horizontal="center" vertical="center" wrapText="1"/>
    </xf>
    <xf numFmtId="178" fontId="1" fillId="2" borderId="9" xfId="0" applyNumberFormat="1" applyFont="1" applyFill="1" applyBorder="1" applyAlignment="1">
      <alignment horizontal="center" vertical="center" wrapText="1"/>
    </xf>
    <xf numFmtId="178" fontId="1" fillId="2" borderId="10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178" fontId="1" fillId="2" borderId="11" xfId="0" applyNumberFormat="1" applyFont="1" applyFill="1" applyBorder="1" applyAlignment="1" applyProtection="1">
      <alignment horizontal="center" vertical="center" wrapText="1"/>
      <protection locked="0"/>
    </xf>
    <xf numFmtId="178" fontId="1" fillId="2" borderId="7" xfId="0" applyNumberFormat="1" applyFont="1" applyFill="1" applyBorder="1" applyAlignment="1">
      <alignment horizontal="center" vertical="center" wrapText="1"/>
    </xf>
    <xf numFmtId="178" fontId="1" fillId="2" borderId="12" xfId="0" applyNumberFormat="1" applyFont="1" applyFill="1" applyBorder="1" applyAlignment="1">
      <alignment horizontal="center" vertical="center" wrapText="1"/>
    </xf>
    <xf numFmtId="178" fontId="1" fillId="2" borderId="13" xfId="0" applyNumberFormat="1" applyFont="1" applyFill="1" applyBorder="1" applyAlignment="1">
      <alignment horizontal="center" vertical="center" wrapText="1"/>
    </xf>
    <xf numFmtId="178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78" fontId="1" fillId="2" borderId="15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7" fontId="7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78" fontId="3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78" fontId="9" fillId="7" borderId="5" xfId="0" applyNumberFormat="1" applyFont="1" applyFill="1" applyBorder="1" applyAlignment="1">
      <alignment horizontal="center" vertical="center"/>
    </xf>
    <xf numFmtId="180" fontId="4" fillId="3" borderId="5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5" fillId="9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176" fontId="5" fillId="9" borderId="5" xfId="0" applyNumberFormat="1" applyFont="1" applyFill="1" applyBorder="1" applyAlignment="1">
      <alignment horizontal="center" vertical="center" wrapText="1"/>
    </xf>
    <xf numFmtId="178" fontId="4" fillId="3" borderId="5" xfId="0" applyNumberFormat="1" applyFont="1" applyFill="1" applyBorder="1" applyAlignment="1">
      <alignment horizontal="center" vertical="center" shrinkToFit="1"/>
    </xf>
    <xf numFmtId="178" fontId="11" fillId="8" borderId="5" xfId="0" applyNumberFormat="1" applyFont="1" applyFill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79" fontId="2" fillId="0" borderId="5" xfId="0" applyNumberFormat="1" applyFont="1" applyBorder="1" applyAlignment="1">
      <alignment horizontal="center" vertical="center" wrapText="1"/>
    </xf>
    <xf numFmtId="178" fontId="9" fillId="0" borderId="5" xfId="0" applyNumberFormat="1" applyFont="1" applyBorder="1" applyAlignment="1">
      <alignment horizontal="center" vertical="center" wrapText="1"/>
    </xf>
    <xf numFmtId="179" fontId="2" fillId="0" borderId="5" xfId="0" applyNumberFormat="1" applyFont="1" applyFill="1" applyBorder="1" applyAlignment="1">
      <alignment horizontal="center" vertical="center" wrapText="1"/>
    </xf>
    <xf numFmtId="179" fontId="5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79" fontId="2" fillId="4" borderId="7" xfId="0" applyNumberFormat="1" applyFont="1" applyFill="1" applyBorder="1" applyAlignment="1">
      <alignment horizontal="center" vertical="center" wrapText="1"/>
    </xf>
    <xf numFmtId="179" fontId="2" fillId="4" borderId="5" xfId="0" applyNumberFormat="1" applyFont="1" applyFill="1" applyBorder="1" applyAlignment="1">
      <alignment horizontal="center" vertical="center" wrapText="1"/>
    </xf>
    <xf numFmtId="179" fontId="7" fillId="4" borderId="5" xfId="0" applyNumberFormat="1" applyFont="1" applyFill="1" applyBorder="1" applyAlignment="1">
      <alignment horizontal="center" vertical="center" wrapText="1"/>
    </xf>
    <xf numFmtId="0" fontId="8" fillId="4" borderId="5" xfId="0" applyNumberFormat="1" applyFont="1" applyFill="1" applyBorder="1" applyAlignment="1">
      <alignment horizontal="center" vertical="center" wrapText="1"/>
    </xf>
    <xf numFmtId="178" fontId="8" fillId="4" borderId="5" xfId="0" applyNumberFormat="1" applyFont="1" applyFill="1" applyBorder="1" applyAlignment="1">
      <alignment horizontal="center" vertical="center" wrapText="1"/>
    </xf>
    <xf numFmtId="178" fontId="7" fillId="4" borderId="5" xfId="0" applyNumberFormat="1" applyFont="1" applyFill="1" applyBorder="1" applyAlignment="1">
      <alignment horizontal="center" vertical="center" wrapText="1"/>
    </xf>
    <xf numFmtId="178" fontId="7" fillId="4" borderId="8" xfId="0" applyNumberFormat="1" applyFont="1" applyFill="1" applyBorder="1" applyAlignment="1">
      <alignment horizontal="center" vertical="center" wrapText="1"/>
    </xf>
    <xf numFmtId="178" fontId="13" fillId="3" borderId="9" xfId="0" applyNumberFormat="1" applyFont="1" applyFill="1" applyBorder="1" applyAlignment="1">
      <alignment horizontal="center" vertical="center" wrapText="1"/>
    </xf>
    <xf numFmtId="178" fontId="13" fillId="3" borderId="5" xfId="0" applyNumberFormat="1" applyFont="1" applyFill="1" applyBorder="1" applyAlignment="1">
      <alignment horizontal="center" vertical="center" wrapText="1"/>
    </xf>
    <xf numFmtId="178" fontId="13" fillId="3" borderId="10" xfId="0" applyNumberFormat="1" applyFont="1" applyFill="1" applyBorder="1" applyAlignment="1">
      <alignment horizontal="center" vertical="center" wrapText="1"/>
    </xf>
    <xf numFmtId="0" fontId="13" fillId="3" borderId="10" xfId="0" applyNumberFormat="1" applyFont="1" applyFill="1" applyBorder="1" applyAlignment="1">
      <alignment horizontal="center" vertical="center" wrapText="1"/>
    </xf>
    <xf numFmtId="178" fontId="13" fillId="3" borderId="11" xfId="0" applyNumberFormat="1" applyFont="1" applyFill="1" applyBorder="1" applyAlignment="1" applyProtection="1">
      <alignment horizontal="center" vertical="center" wrapText="1"/>
      <protection locked="0"/>
    </xf>
    <xf numFmtId="178" fontId="13" fillId="3" borderId="7" xfId="0" applyNumberFormat="1" applyFont="1" applyFill="1" applyBorder="1" applyAlignment="1">
      <alignment horizontal="center" vertical="center" wrapText="1"/>
    </xf>
    <xf numFmtId="178" fontId="8" fillId="0" borderId="5" xfId="0" applyNumberFormat="1" applyFont="1" applyFill="1" applyBorder="1" applyAlignment="1">
      <alignment horizontal="center" vertical="center" wrapText="1"/>
    </xf>
    <xf numFmtId="178" fontId="8" fillId="0" borderId="10" xfId="0" applyNumberFormat="1" applyFont="1" applyFill="1" applyBorder="1" applyAlignment="1">
      <alignment horizontal="center" vertical="center" wrapText="1"/>
    </xf>
    <xf numFmtId="178" fontId="8" fillId="0" borderId="12" xfId="0" applyNumberFormat="1" applyFont="1" applyFill="1" applyBorder="1" applyAlignment="1">
      <alignment horizontal="center" vertical="center" wrapText="1"/>
    </xf>
    <xf numFmtId="178" fontId="8" fillId="0" borderId="13" xfId="0" applyNumberFormat="1" applyFont="1" applyFill="1" applyBorder="1" applyAlignment="1">
      <alignment horizontal="center" vertical="center" wrapText="1"/>
    </xf>
    <xf numFmtId="178" fontId="8" fillId="0" borderId="11" xfId="0" applyNumberFormat="1" applyFont="1" applyFill="1" applyBorder="1" applyAlignment="1" applyProtection="1">
      <alignment horizontal="center" vertical="center" wrapText="1"/>
      <protection locked="0"/>
    </xf>
    <xf numFmtId="181" fontId="13" fillId="3" borderId="10" xfId="0" applyNumberFormat="1" applyFont="1" applyFill="1" applyBorder="1" applyAlignment="1">
      <alignment horizontal="center" vertical="center" wrapText="1"/>
    </xf>
    <xf numFmtId="178" fontId="13" fillId="3" borderId="14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center" vertical="center"/>
    </xf>
    <xf numFmtId="0" fontId="4" fillId="3" borderId="16" xfId="0" applyNumberFormat="1" applyFont="1" applyFill="1" applyBorder="1" applyAlignment="1">
      <alignment horizontal="center" vertical="center"/>
    </xf>
    <xf numFmtId="178" fontId="13" fillId="3" borderId="15" xfId="0" applyNumberFormat="1" applyFont="1" applyFill="1" applyBorder="1" applyAlignment="1">
      <alignment horizontal="center" vertical="center"/>
    </xf>
    <xf numFmtId="0" fontId="13" fillId="3" borderId="12" xfId="0" applyNumberFormat="1" applyFont="1" applyFill="1" applyBorder="1" applyAlignment="1">
      <alignment horizontal="center" vertical="center"/>
    </xf>
    <xf numFmtId="0" fontId="13" fillId="3" borderId="14" xfId="0" applyNumberFormat="1" applyFont="1" applyFill="1" applyBorder="1" applyAlignment="1">
      <alignment horizontal="center" vertical="center"/>
    </xf>
    <xf numFmtId="178" fontId="16" fillId="10" borderId="10" xfId="0" applyNumberFormat="1" applyFont="1" applyFill="1" applyBorder="1" applyAlignment="1" applyProtection="1">
      <alignment horizontal="center" vertical="center" wrapText="1"/>
      <protection locked="0"/>
    </xf>
    <xf numFmtId="178" fontId="16" fillId="10" borderId="10" xfId="0" applyNumberFormat="1" applyFont="1" applyFill="1" applyBorder="1" applyAlignment="1">
      <alignment horizontal="center" vertical="center" wrapText="1"/>
    </xf>
    <xf numFmtId="178" fontId="7" fillId="10" borderId="14" xfId="0" applyNumberFormat="1" applyFont="1" applyFill="1" applyBorder="1" applyAlignment="1">
      <alignment horizontal="center" vertical="center" wrapText="1"/>
    </xf>
    <xf numFmtId="180" fontId="4" fillId="3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C0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4180;&#31179;&#20908;&#27454;&#24335;&#24320;&#21457;&#34920;7.2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静物摄影"/>
      <sheetName val="上新透视"/>
      <sheetName val="开发明细表"/>
      <sheetName val="返单加色&amp;码明细"/>
      <sheetName val="视觉重新优化"/>
      <sheetName val="上新进度看板"/>
      <sheetName val="品牌延期登记表"/>
      <sheetName val="样衣数据看板"/>
      <sheetName val="运营上新节奏"/>
      <sheetName val="设计下单"/>
      <sheetName val="辅助表"/>
      <sheetName val="企划总比"/>
      <sheetName val="场景汇总"/>
      <sheetName val="主题系列"/>
      <sheetName val="首页&amp;推广图需求"/>
      <sheetName val="报告专用表"/>
      <sheetName val="货期表关联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款号</v>
          </cell>
          <cell r="B1" t="str">
            <v>邮件命名</v>
          </cell>
          <cell r="C1" t="str">
            <v>日期</v>
          </cell>
        </row>
        <row r="3">
          <cell r="A3" t="str">
            <v>JCB63804</v>
          </cell>
          <cell r="B3" t="str">
            <v>秋27-JCB63804</v>
          </cell>
          <cell r="C3">
            <v>46082</v>
          </cell>
        </row>
        <row r="4">
          <cell r="A4" t="str">
            <v>JTB63809</v>
          </cell>
          <cell r="B4" t="str">
            <v>秋33-JTB63809</v>
          </cell>
          <cell r="C4">
            <v>46082</v>
          </cell>
        </row>
        <row r="5">
          <cell r="A5" t="str">
            <v>JXB63807</v>
          </cell>
          <cell r="B5" t="str">
            <v>秋36-JXB63807</v>
          </cell>
          <cell r="C5">
            <v>46082</v>
          </cell>
        </row>
        <row r="6">
          <cell r="A6" t="str">
            <v>JDG63503</v>
          </cell>
          <cell r="B6" t="str">
            <v>秋1-JDG63503</v>
          </cell>
          <cell r="C6">
            <v>46082</v>
          </cell>
        </row>
        <row r="7">
          <cell r="A7" t="str">
            <v>JTG63601</v>
          </cell>
          <cell r="B7" t="str">
            <v>秋2-JTG63601</v>
          </cell>
          <cell r="C7">
            <v>46082</v>
          </cell>
        </row>
        <row r="8">
          <cell r="A8" t="str">
            <v>JLG63501</v>
          </cell>
          <cell r="B8" t="str">
            <v>秋4-JLG63501</v>
          </cell>
          <cell r="C8">
            <v>46082</v>
          </cell>
        </row>
        <row r="9">
          <cell r="A9" t="str">
            <v>JKB63507</v>
          </cell>
          <cell r="B9" t="str">
            <v>秋6-JKB63507</v>
          </cell>
          <cell r="C9">
            <v>46082</v>
          </cell>
        </row>
        <row r="10">
          <cell r="A10" t="str">
            <v>JKB63510</v>
          </cell>
          <cell r="B10" t="str">
            <v>秋7-JKB63510</v>
          </cell>
          <cell r="C10">
            <v>46082</v>
          </cell>
        </row>
        <row r="11">
          <cell r="A11" t="str">
            <v>JKG63506</v>
          </cell>
          <cell r="B11" t="str">
            <v>秋8-JKG63506</v>
          </cell>
          <cell r="C11">
            <v>46082</v>
          </cell>
        </row>
        <row r="12">
          <cell r="A12" t="str">
            <v>JRG63515</v>
          </cell>
          <cell r="B12" t="str">
            <v>秋12-JRG63515</v>
          </cell>
          <cell r="C12">
            <v>46082</v>
          </cell>
        </row>
        <row r="13">
          <cell r="A13" t="str">
            <v>JXG63605</v>
          </cell>
          <cell r="B13" t="str">
            <v>秋26-JXG63605</v>
          </cell>
          <cell r="C13">
            <v>46082</v>
          </cell>
        </row>
        <row r="14">
          <cell r="A14" t="str">
            <v>JLG63518</v>
          </cell>
          <cell r="B14" t="str">
            <v>秋11-JLG63518</v>
          </cell>
          <cell r="C14">
            <v>46086</v>
          </cell>
        </row>
        <row r="15">
          <cell r="A15" t="str">
            <v>JXG63517</v>
          </cell>
          <cell r="B15" t="str">
            <v>秋15-JXG63517</v>
          </cell>
          <cell r="C15">
            <v>46086</v>
          </cell>
        </row>
        <row r="16">
          <cell r="A16" t="str">
            <v>JCG63613</v>
          </cell>
          <cell r="B16" t="str">
            <v>秋16-JCG63613</v>
          </cell>
          <cell r="C16">
            <v>46086</v>
          </cell>
        </row>
        <row r="17">
          <cell r="A17" t="str">
            <v>JLG63604</v>
          </cell>
          <cell r="B17" t="str">
            <v>秋20-JLG63604</v>
          </cell>
          <cell r="C17">
            <v>46086</v>
          </cell>
        </row>
        <row r="18">
          <cell r="A18" t="str">
            <v>JLG63612</v>
          </cell>
          <cell r="B18" t="str">
            <v>秋22-JLG63612</v>
          </cell>
          <cell r="C18">
            <v>46086</v>
          </cell>
        </row>
        <row r="19">
          <cell r="A19" t="str">
            <v>JXG63603</v>
          </cell>
          <cell r="B19" t="str">
            <v>秋25-JXG63603</v>
          </cell>
          <cell r="C19">
            <v>46086</v>
          </cell>
        </row>
        <row r="20">
          <cell r="A20" t="str">
            <v>JLG63811</v>
          </cell>
          <cell r="B20" t="str">
            <v>秋30-JLG63811</v>
          </cell>
          <cell r="C20">
            <v>46086</v>
          </cell>
        </row>
        <row r="21">
          <cell r="A21" t="str">
            <v>JLB63509</v>
          </cell>
          <cell r="B21" t="str">
            <v>秋10-JLB63509</v>
          </cell>
          <cell r="C21">
            <v>46086</v>
          </cell>
        </row>
        <row r="22">
          <cell r="A22" t="str">
            <v>JKB63620</v>
          </cell>
          <cell r="B22" t="str">
            <v>秋44-JKB63620</v>
          </cell>
          <cell r="C22">
            <v>46094</v>
          </cell>
        </row>
        <row r="23">
          <cell r="A23" t="str">
            <v>JKG63614</v>
          </cell>
          <cell r="B23" t="str">
            <v>秋45-JKG63614</v>
          </cell>
          <cell r="C23">
            <v>46094</v>
          </cell>
        </row>
        <row r="24">
          <cell r="A24" t="str">
            <v>JQG63002</v>
          </cell>
          <cell r="B24" t="str">
            <v>秋48-JQG63002</v>
          </cell>
          <cell r="C24">
            <v>46094</v>
          </cell>
        </row>
        <row r="25">
          <cell r="A25" t="str">
            <v>JLB63508</v>
          </cell>
          <cell r="B25" t="str">
            <v>秋9-JLB63508</v>
          </cell>
          <cell r="C25">
            <v>46094</v>
          </cell>
        </row>
        <row r="26">
          <cell r="A26" t="str">
            <v>JQG63611</v>
          </cell>
          <cell r="B26" t="str">
            <v>秋24-JQG63611</v>
          </cell>
          <cell r="C26">
            <v>46094</v>
          </cell>
        </row>
        <row r="27">
          <cell r="A27" t="str">
            <v>JCG63802</v>
          </cell>
          <cell r="B27" t="str">
            <v>秋28-JCG63802</v>
          </cell>
          <cell r="C27">
            <v>46094</v>
          </cell>
        </row>
        <row r="28">
          <cell r="A28" t="str">
            <v>JJG63617</v>
          </cell>
          <cell r="B28" t="str">
            <v>秋43-JJG63617</v>
          </cell>
          <cell r="C28">
            <v>46094</v>
          </cell>
        </row>
        <row r="29">
          <cell r="A29" t="str">
            <v>JKG63521</v>
          </cell>
          <cell r="B29" t="str">
            <v>秋37-JKG63521</v>
          </cell>
          <cell r="C29">
            <v>46095</v>
          </cell>
        </row>
        <row r="30">
          <cell r="A30" t="str">
            <v>JJG63615</v>
          </cell>
          <cell r="B30" t="str">
            <v>秋41-JJG63615</v>
          </cell>
          <cell r="C30">
            <v>46095</v>
          </cell>
        </row>
        <row r="31">
          <cell r="A31" t="str">
            <v>JGG63519</v>
          </cell>
          <cell r="B31" t="str">
            <v>秋5-JGG63519</v>
          </cell>
          <cell r="C31">
            <v>46095</v>
          </cell>
        </row>
        <row r="32">
          <cell r="A32" t="str">
            <v>JLG63607</v>
          </cell>
          <cell r="B32" t="str">
            <v>秋21-JLG63607</v>
          </cell>
          <cell r="C32">
            <v>46095</v>
          </cell>
        </row>
        <row r="33">
          <cell r="A33" t="str">
            <v>JJG63801</v>
          </cell>
          <cell r="B33" t="str">
            <v>秋29-JJG63801</v>
          </cell>
          <cell r="C33">
            <v>46095</v>
          </cell>
        </row>
        <row r="34">
          <cell r="A34" t="str">
            <v>JKN63537</v>
          </cell>
          <cell r="B34" t="str">
            <v>秋57-JKN63537</v>
          </cell>
          <cell r="C34">
            <v>46100</v>
          </cell>
        </row>
        <row r="35">
          <cell r="A35" t="str">
            <v>JTG63536</v>
          </cell>
          <cell r="B35" t="str">
            <v>秋65-JTG63536</v>
          </cell>
          <cell r="C35">
            <v>46100</v>
          </cell>
        </row>
        <row r="36">
          <cell r="A36" t="str">
            <v>JLG63001</v>
          </cell>
          <cell r="B36" t="str">
            <v>秋88-JLG63001</v>
          </cell>
          <cell r="C36">
            <v>46100</v>
          </cell>
        </row>
        <row r="37">
          <cell r="A37" t="str">
            <v>JGG63610</v>
          </cell>
          <cell r="B37" t="str">
            <v>秋18-JGG63610</v>
          </cell>
          <cell r="C37">
            <v>46100</v>
          </cell>
        </row>
        <row r="38">
          <cell r="A38" t="str">
            <v>JJG63609</v>
          </cell>
          <cell r="B38" t="str">
            <v>秋19-JJG63609</v>
          </cell>
          <cell r="C38">
            <v>46100</v>
          </cell>
        </row>
        <row r="39">
          <cell r="A39" t="str">
            <v>JGB63619</v>
          </cell>
          <cell r="B39" t="str">
            <v>秋39-JGB63619</v>
          </cell>
          <cell r="C39">
            <v>46100</v>
          </cell>
        </row>
        <row r="40">
          <cell r="A40" t="str">
            <v>JXB63540</v>
          </cell>
          <cell r="B40" t="str">
            <v>秋67-JXB63540</v>
          </cell>
          <cell r="C40">
            <v>46101</v>
          </cell>
        </row>
        <row r="41">
          <cell r="A41" t="str">
            <v>JXG63549</v>
          </cell>
          <cell r="B41" t="str">
            <v>秋70-JXG63549</v>
          </cell>
          <cell r="C41">
            <v>46101</v>
          </cell>
        </row>
        <row r="42">
          <cell r="A42" t="str">
            <v>JXG63551</v>
          </cell>
          <cell r="B42" t="str">
            <v>秋72-JXG63551</v>
          </cell>
          <cell r="C42">
            <v>46101</v>
          </cell>
        </row>
        <row r="43">
          <cell r="A43" t="str">
            <v>JXB63008</v>
          </cell>
          <cell r="B43" t="str">
            <v>秋96-JXB63008</v>
          </cell>
          <cell r="C43">
            <v>46101</v>
          </cell>
        </row>
        <row r="44">
          <cell r="A44" t="str">
            <v>JJB63618</v>
          </cell>
          <cell r="B44" t="str">
            <v>秋40-JJB63618</v>
          </cell>
          <cell r="C44">
            <v>46101</v>
          </cell>
        </row>
        <row r="45">
          <cell r="A45" t="str">
            <v>JJG63003</v>
          </cell>
          <cell r="B45" t="str">
            <v>秋46-JJG63003</v>
          </cell>
          <cell r="C45">
            <v>46101</v>
          </cell>
        </row>
        <row r="46">
          <cell r="A46" t="str">
            <v>JHN63535</v>
          </cell>
          <cell r="B46" t="str">
            <v>秋53-JHN63535</v>
          </cell>
          <cell r="C46">
            <v>46101</v>
          </cell>
        </row>
        <row r="47">
          <cell r="A47" t="str">
            <v>JRG63543</v>
          </cell>
          <cell r="B47" t="str">
            <v>秋62-JRG63543</v>
          </cell>
          <cell r="C47">
            <v>46101</v>
          </cell>
        </row>
        <row r="48">
          <cell r="A48" t="str">
            <v>JXG63020</v>
          </cell>
          <cell r="B48" t="str">
            <v>秋99-JXG63020</v>
          </cell>
          <cell r="C48">
            <v>46102</v>
          </cell>
        </row>
        <row r="49">
          <cell r="A49" t="str">
            <v>JTN63539</v>
          </cell>
          <cell r="B49" t="str">
            <v>秋66-JTN63539</v>
          </cell>
          <cell r="C49">
            <v>46102</v>
          </cell>
        </row>
        <row r="50">
          <cell r="A50" t="str">
            <v>JXB63017</v>
          </cell>
          <cell r="B50" t="str">
            <v>秋97-JXB63017</v>
          </cell>
          <cell r="C50">
            <v>46102</v>
          </cell>
        </row>
        <row r="51">
          <cell r="A51" t="str">
            <v>JXG63013</v>
          </cell>
          <cell r="B51" t="str">
            <v>秋98-JXG63013</v>
          </cell>
          <cell r="C51">
            <v>46102</v>
          </cell>
        </row>
        <row r="52">
          <cell r="A52" t="str">
            <v>JGN64811</v>
          </cell>
          <cell r="B52" t="str">
            <v>冬8-JGN64811</v>
          </cell>
          <cell r="C52">
            <v>46105</v>
          </cell>
        </row>
        <row r="53">
          <cell r="A53" t="str">
            <v>JTG63513</v>
          </cell>
          <cell r="B53" t="str">
            <v>秋13-JTG63513</v>
          </cell>
          <cell r="C53">
            <v>46105</v>
          </cell>
        </row>
        <row r="54">
          <cell r="A54" t="str">
            <v>JTG63514</v>
          </cell>
          <cell r="B54" t="str">
            <v>秋14-JTG63514</v>
          </cell>
          <cell r="C54">
            <v>46105</v>
          </cell>
        </row>
        <row r="55">
          <cell r="A55" t="str">
            <v>JTB63808</v>
          </cell>
          <cell r="B55" t="str">
            <v>秋32-JTB63808</v>
          </cell>
          <cell r="C55">
            <v>46105</v>
          </cell>
        </row>
        <row r="56">
          <cell r="A56" t="str">
            <v>JMG63520</v>
          </cell>
          <cell r="B56" t="str">
            <v>秋38-JMG63520</v>
          </cell>
          <cell r="C56">
            <v>46105</v>
          </cell>
        </row>
        <row r="57">
          <cell r="A57" t="str">
            <v>JKG65505</v>
          </cell>
          <cell r="B57" t="str">
            <v>深秋1-JKG65505</v>
          </cell>
          <cell r="C57">
            <v>46105</v>
          </cell>
        </row>
        <row r="58">
          <cell r="A58" t="str">
            <v>JNG60250</v>
          </cell>
          <cell r="B58" t="str">
            <v>通季10-JNG60250</v>
          </cell>
          <cell r="C58">
            <v>46108</v>
          </cell>
        </row>
        <row r="59">
          <cell r="A59" t="str">
            <v>JNG60251</v>
          </cell>
          <cell r="B59" t="str">
            <v>通季11-JNG60251</v>
          </cell>
          <cell r="C59">
            <v>46108</v>
          </cell>
        </row>
        <row r="60">
          <cell r="A60" t="str">
            <v>JJB63538</v>
          </cell>
          <cell r="B60" t="str">
            <v>秋54-JJB63538</v>
          </cell>
          <cell r="C60">
            <v>46109</v>
          </cell>
        </row>
        <row r="61">
          <cell r="A61" t="str">
            <v>JQG63527</v>
          </cell>
          <cell r="B61" t="str">
            <v>秋60-JQG63527</v>
          </cell>
          <cell r="C61">
            <v>46109</v>
          </cell>
        </row>
        <row r="62">
          <cell r="A62" t="str">
            <v>JQG63530</v>
          </cell>
          <cell r="B62" t="str">
            <v>秋61-JQG63530</v>
          </cell>
          <cell r="C62">
            <v>46109</v>
          </cell>
        </row>
        <row r="63">
          <cell r="A63" t="str">
            <v>JXG63526</v>
          </cell>
          <cell r="B63" t="str">
            <v>秋68-JXG63526</v>
          </cell>
          <cell r="C63">
            <v>46109</v>
          </cell>
        </row>
        <row r="64">
          <cell r="A64" t="str">
            <v>JTB63016</v>
          </cell>
          <cell r="B64" t="str">
            <v>秋95-JTB63016</v>
          </cell>
          <cell r="C64">
            <v>46109</v>
          </cell>
        </row>
        <row r="65">
          <cell r="A65" t="str">
            <v>JTG63814</v>
          </cell>
          <cell r="B65" t="str">
            <v>秋107-JTG63814</v>
          </cell>
          <cell r="C65">
            <v>46109</v>
          </cell>
        </row>
        <row r="66">
          <cell r="A66" t="str">
            <v>JJG63616</v>
          </cell>
          <cell r="B66" t="str">
            <v>秋42-JJG63616</v>
          </cell>
          <cell r="C66">
            <v>46109</v>
          </cell>
        </row>
        <row r="67">
          <cell r="A67" t="str">
            <v>JKG63626</v>
          </cell>
          <cell r="B67" t="str">
            <v>秋78-JKG63626</v>
          </cell>
          <cell r="C67">
            <v>46110</v>
          </cell>
        </row>
        <row r="68">
          <cell r="A68" t="str">
            <v>JJB63019</v>
          </cell>
          <cell r="B68" t="str">
            <v>秋90-JJB63019</v>
          </cell>
          <cell r="C68">
            <v>46110</v>
          </cell>
        </row>
        <row r="69">
          <cell r="A69" t="str">
            <v>JKB63018</v>
          </cell>
          <cell r="B69" t="str">
            <v>秋92-JKB63018</v>
          </cell>
          <cell r="C69">
            <v>46110</v>
          </cell>
        </row>
        <row r="70">
          <cell r="A70" t="str">
            <v>JQG63007</v>
          </cell>
          <cell r="B70" t="str">
            <v>秋94-JQG63007</v>
          </cell>
          <cell r="C70">
            <v>46110</v>
          </cell>
        </row>
        <row r="71">
          <cell r="A71" t="str">
            <v>JTG63803</v>
          </cell>
          <cell r="B71" t="str">
            <v>秋34-JTG63803</v>
          </cell>
          <cell r="C71">
            <v>46110</v>
          </cell>
        </row>
        <row r="72">
          <cell r="A72" t="str">
            <v>JKG63534</v>
          </cell>
          <cell r="B72" t="str">
            <v>秋55-JKG63534</v>
          </cell>
          <cell r="C72">
            <v>46110</v>
          </cell>
        </row>
        <row r="73">
          <cell r="A73" t="str">
            <v>JKN63546</v>
          </cell>
          <cell r="B73" t="str">
            <v>秋58-JKN63546</v>
          </cell>
          <cell r="C73">
            <v>46111</v>
          </cell>
        </row>
        <row r="74">
          <cell r="A74" t="str">
            <v>JCG63633</v>
          </cell>
          <cell r="B74" t="str">
            <v>秋74-JCG63633</v>
          </cell>
          <cell r="C74">
            <v>46111</v>
          </cell>
        </row>
        <row r="75">
          <cell r="A75" t="str">
            <v>JGB63635</v>
          </cell>
          <cell r="B75" t="str">
            <v>秋75-JGB63635</v>
          </cell>
          <cell r="C75">
            <v>46111</v>
          </cell>
        </row>
        <row r="76">
          <cell r="A76" t="str">
            <v>JJG63631</v>
          </cell>
          <cell r="B76" t="str">
            <v>秋76-JJG63631</v>
          </cell>
          <cell r="C76">
            <v>46111</v>
          </cell>
        </row>
        <row r="77">
          <cell r="A77" t="str">
            <v>JLG63624</v>
          </cell>
          <cell r="B77" t="str">
            <v>秋80-JLG63624</v>
          </cell>
          <cell r="C77">
            <v>46111</v>
          </cell>
        </row>
        <row r="78">
          <cell r="A78" t="str">
            <v>JTG63629</v>
          </cell>
          <cell r="B78" t="str">
            <v>秋84-JTG63629</v>
          </cell>
          <cell r="C78">
            <v>46111</v>
          </cell>
        </row>
        <row r="79">
          <cell r="A79" t="str">
            <v>JTG63621</v>
          </cell>
          <cell r="B79" t="str">
            <v>秋86-JTG63621</v>
          </cell>
          <cell r="C79">
            <v>46111</v>
          </cell>
        </row>
        <row r="80">
          <cell r="A80" t="str">
            <v>JXG63634</v>
          </cell>
          <cell r="B80" t="str">
            <v>秋146-JXG63634</v>
          </cell>
          <cell r="C80">
            <v>46111</v>
          </cell>
        </row>
        <row r="81">
          <cell r="A81" t="str">
            <v>JHG63528</v>
          </cell>
          <cell r="B81" t="str">
            <v>秋50-JHG63528</v>
          </cell>
          <cell r="C81">
            <v>46111</v>
          </cell>
        </row>
        <row r="82">
          <cell r="A82" t="str">
            <v>JHG63529</v>
          </cell>
          <cell r="B82" t="str">
            <v>秋51-JHG63529</v>
          </cell>
          <cell r="C82">
            <v>46111</v>
          </cell>
        </row>
        <row r="83">
          <cell r="A83" t="str">
            <v>JHG63542</v>
          </cell>
          <cell r="B83" t="str">
            <v>秋52-JHG63542</v>
          </cell>
          <cell r="C83">
            <v>46111</v>
          </cell>
        </row>
        <row r="84">
          <cell r="A84" t="str">
            <v>JMG63533</v>
          </cell>
          <cell r="B84" t="str">
            <v>秋59-JMG63533</v>
          </cell>
          <cell r="C84">
            <v>46112</v>
          </cell>
        </row>
        <row r="85">
          <cell r="A85" t="str">
            <v>JRG63544</v>
          </cell>
          <cell r="B85" t="str">
            <v>秋63-JRG63544</v>
          </cell>
          <cell r="C85">
            <v>46112</v>
          </cell>
        </row>
        <row r="86">
          <cell r="A86" t="str">
            <v>JTG63532</v>
          </cell>
          <cell r="B86" t="str">
            <v>秋64-JTG63532</v>
          </cell>
          <cell r="C86">
            <v>46112</v>
          </cell>
        </row>
        <row r="87">
          <cell r="A87" t="str">
            <v>JXG63548</v>
          </cell>
          <cell r="B87" t="str">
            <v>秋69-JXG63548</v>
          </cell>
          <cell r="C87">
            <v>46112</v>
          </cell>
        </row>
        <row r="88">
          <cell r="A88" t="str">
            <v>JXG63550</v>
          </cell>
          <cell r="B88" t="str">
            <v>秋71-JXG63550</v>
          </cell>
          <cell r="C88">
            <v>46112</v>
          </cell>
        </row>
        <row r="89">
          <cell r="A89" t="str">
            <v>JXG63552</v>
          </cell>
          <cell r="B89" t="str">
            <v>秋73-JXG63552</v>
          </cell>
          <cell r="C89">
            <v>46112</v>
          </cell>
        </row>
        <row r="90">
          <cell r="A90" t="str">
            <v>JLG63625</v>
          </cell>
          <cell r="B90" t="str">
            <v>秋81-JLG63625</v>
          </cell>
          <cell r="C90">
            <v>46112</v>
          </cell>
        </row>
        <row r="91">
          <cell r="A91" t="str">
            <v>JJG63006</v>
          </cell>
          <cell r="B91" t="str">
            <v>秋91-JJG63006</v>
          </cell>
          <cell r="C91">
            <v>46112</v>
          </cell>
        </row>
        <row r="92">
          <cell r="A92" t="str">
            <v>JJG63817</v>
          </cell>
          <cell r="B92" t="str">
            <v>秋101-JJG63817</v>
          </cell>
          <cell r="C92">
            <v>46112</v>
          </cell>
        </row>
        <row r="93">
          <cell r="A93" t="str">
            <v>JLG63820</v>
          </cell>
          <cell r="B93" t="str">
            <v>秋104-JLG63820</v>
          </cell>
          <cell r="C93">
            <v>46112</v>
          </cell>
        </row>
        <row r="94">
          <cell r="A94" t="str">
            <v>JXG63821</v>
          </cell>
          <cell r="B94" t="str">
            <v>秋111-JXG63821</v>
          </cell>
          <cell r="C94">
            <v>46112</v>
          </cell>
        </row>
        <row r="95">
          <cell r="A95" t="str">
            <v>JMG65003</v>
          </cell>
          <cell r="B95" t="str">
            <v>深秋3-JMG65003</v>
          </cell>
          <cell r="C95">
            <v>46112</v>
          </cell>
        </row>
        <row r="96">
          <cell r="A96" t="str">
            <v>JQG65004</v>
          </cell>
          <cell r="B96" t="str">
            <v>深秋4-JQG65004</v>
          </cell>
          <cell r="C96">
            <v>46112</v>
          </cell>
        </row>
        <row r="97">
          <cell r="A97" t="str">
            <v>JTG63810</v>
          </cell>
          <cell r="B97" t="str">
            <v>秋35-JTG63810</v>
          </cell>
          <cell r="C97">
            <v>46112</v>
          </cell>
        </row>
        <row r="98">
          <cell r="A98" t="str">
            <v>JCG63545</v>
          </cell>
          <cell r="B98" t="str">
            <v>秋49-JCG63545</v>
          </cell>
          <cell r="C98">
            <v>46112</v>
          </cell>
        </row>
        <row r="99">
          <cell r="A99" t="str">
            <v>JKG63547</v>
          </cell>
          <cell r="B99" t="str">
            <v>秋56-JKG63547</v>
          </cell>
          <cell r="C99">
            <v>46112</v>
          </cell>
        </row>
        <row r="100">
          <cell r="A100" t="str">
            <v>JXB63030</v>
          </cell>
          <cell r="B100" t="str">
            <v>秋136-JXB63030</v>
          </cell>
          <cell r="C100">
            <v>46113</v>
          </cell>
        </row>
        <row r="101">
          <cell r="A101" t="str">
            <v>JRB63031</v>
          </cell>
          <cell r="B101" t="str">
            <v>秋140-JRB63031</v>
          </cell>
          <cell r="C101">
            <v>46113</v>
          </cell>
        </row>
        <row r="102">
          <cell r="A102" t="str">
            <v>JXB63029</v>
          </cell>
          <cell r="B102" t="str">
            <v>秋144-JXB63029</v>
          </cell>
          <cell r="C102">
            <v>46113</v>
          </cell>
        </row>
        <row r="103">
          <cell r="A103" t="str">
            <v>JJG63819</v>
          </cell>
          <cell r="B103" t="str">
            <v>秋102-JJG63819</v>
          </cell>
          <cell r="C103">
            <v>46113</v>
          </cell>
        </row>
        <row r="104">
          <cell r="A104" t="str">
            <v>JRB63554</v>
          </cell>
          <cell r="B104" t="str">
            <v>秋120-JRB63554</v>
          </cell>
          <cell r="C104">
            <v>46113</v>
          </cell>
        </row>
        <row r="105">
          <cell r="A105" t="str">
            <v>JXB63562</v>
          </cell>
          <cell r="B105" t="str">
            <v>秋125-JXB63562</v>
          </cell>
          <cell r="C105">
            <v>46113</v>
          </cell>
        </row>
        <row r="106">
          <cell r="A106" t="str">
            <v>JXB63564</v>
          </cell>
          <cell r="B106" t="str">
            <v>秋127-JXB63564</v>
          </cell>
          <cell r="C106">
            <v>46113</v>
          </cell>
        </row>
        <row r="107">
          <cell r="A107" t="str">
            <v>JRB63573</v>
          </cell>
          <cell r="B107" t="str">
            <v>秋121-JRB63573</v>
          </cell>
          <cell r="C107">
            <v>46114</v>
          </cell>
        </row>
        <row r="108">
          <cell r="A108" t="str">
            <v>JKG63813</v>
          </cell>
          <cell r="B108" t="str">
            <v>秋153-JKG63813</v>
          </cell>
          <cell r="C108">
            <v>46114</v>
          </cell>
        </row>
        <row r="109">
          <cell r="A109" t="str">
            <v>JMG65802</v>
          </cell>
          <cell r="B109" t="str">
            <v>深秋7-JMG65802</v>
          </cell>
          <cell r="C109">
            <v>46114</v>
          </cell>
        </row>
        <row r="110">
          <cell r="A110" t="str">
            <v>JAN64005</v>
          </cell>
          <cell r="B110" t="str">
            <v>冬13-JAN64005</v>
          </cell>
          <cell r="C110">
            <v>46114</v>
          </cell>
        </row>
        <row r="111">
          <cell r="A111" t="str">
            <v>JMB63805</v>
          </cell>
          <cell r="B111" t="str">
            <v>秋31-JMB63805</v>
          </cell>
          <cell r="C111">
            <v>46114</v>
          </cell>
        </row>
        <row r="112">
          <cell r="A112" t="str">
            <v>JJN63818</v>
          </cell>
          <cell r="B112" t="str">
            <v>秋103-JJN63818</v>
          </cell>
          <cell r="C112">
            <v>46114</v>
          </cell>
        </row>
        <row r="113">
          <cell r="A113" t="str">
            <v>JHG63555</v>
          </cell>
          <cell r="B113" t="str">
            <v>秋113-JHG63555</v>
          </cell>
          <cell r="C113">
            <v>46114</v>
          </cell>
        </row>
        <row r="114">
          <cell r="A114" t="str">
            <v>JJB63572</v>
          </cell>
          <cell r="B114" t="str">
            <v>秋114-JJB63572</v>
          </cell>
          <cell r="C114">
            <v>46114</v>
          </cell>
        </row>
        <row r="115">
          <cell r="A115" t="str">
            <v>JJG63571</v>
          </cell>
          <cell r="B115" t="str">
            <v>秋115-JJG63571</v>
          </cell>
          <cell r="C115">
            <v>46114</v>
          </cell>
        </row>
        <row r="116">
          <cell r="A116" t="str">
            <v>JXB63563</v>
          </cell>
          <cell r="B116" t="str">
            <v>秋126-JXB63563</v>
          </cell>
          <cell r="C116">
            <v>46115</v>
          </cell>
        </row>
        <row r="117">
          <cell r="A117" t="str">
            <v>JXG63569</v>
          </cell>
          <cell r="B117" t="str">
            <v>秋131-JXG63569</v>
          </cell>
          <cell r="C117">
            <v>46115</v>
          </cell>
        </row>
        <row r="118">
          <cell r="A118" t="str">
            <v>JTG63628</v>
          </cell>
          <cell r="B118" t="str">
            <v>秋87-JTG63628</v>
          </cell>
          <cell r="C118">
            <v>46115</v>
          </cell>
        </row>
        <row r="119">
          <cell r="A119" t="str">
            <v>JXG63824</v>
          </cell>
          <cell r="B119" t="str">
            <v>秋112-JXG63824</v>
          </cell>
          <cell r="C119">
            <v>46115</v>
          </cell>
        </row>
        <row r="120">
          <cell r="A120" t="str">
            <v>JXB63553</v>
          </cell>
          <cell r="B120" t="str">
            <v>秋124-JXB63553</v>
          </cell>
          <cell r="C120">
            <v>46115</v>
          </cell>
        </row>
        <row r="121">
          <cell r="A121" t="str">
            <v>JQG63012</v>
          </cell>
          <cell r="B121" t="str">
            <v>秋154-JQG63012</v>
          </cell>
          <cell r="C121">
            <v>46118</v>
          </cell>
        </row>
        <row r="122">
          <cell r="A122" t="str">
            <v>JCG63531</v>
          </cell>
          <cell r="B122" t="str">
            <v>秋3-JCG63531</v>
          </cell>
          <cell r="C122">
            <v>46118</v>
          </cell>
        </row>
        <row r="123">
          <cell r="A123" t="str">
            <v>JJG63004</v>
          </cell>
          <cell r="B123" t="str">
            <v>秋47-JJG63004</v>
          </cell>
          <cell r="C123">
            <v>46118</v>
          </cell>
        </row>
        <row r="124">
          <cell r="A124" t="str">
            <v>JLB63009</v>
          </cell>
          <cell r="B124" t="str">
            <v>秋93-JLB63009</v>
          </cell>
          <cell r="C124">
            <v>46118</v>
          </cell>
        </row>
        <row r="125">
          <cell r="A125" t="str">
            <v>JDG63011</v>
          </cell>
          <cell r="B125" t="str">
            <v>秋155-JDG63011</v>
          </cell>
          <cell r="C125">
            <v>46119</v>
          </cell>
        </row>
        <row r="126">
          <cell r="A126" t="str">
            <v>JXG63010</v>
          </cell>
          <cell r="B126" t="str">
            <v>秋156-JXG63010</v>
          </cell>
          <cell r="C126">
            <v>46119</v>
          </cell>
        </row>
        <row r="127">
          <cell r="A127" t="str">
            <v>JKG63627</v>
          </cell>
          <cell r="B127" t="str">
            <v>秋79-JKG63627</v>
          </cell>
          <cell r="C127">
            <v>46119</v>
          </cell>
        </row>
        <row r="128">
          <cell r="A128" t="str">
            <v>JKB63566</v>
          </cell>
          <cell r="B128" t="str">
            <v>秋117-JKB63566</v>
          </cell>
          <cell r="C128">
            <v>46119</v>
          </cell>
        </row>
        <row r="129">
          <cell r="A129" t="str">
            <v>JTG63570</v>
          </cell>
          <cell r="B129" t="str">
            <v>秋123-JTG63570</v>
          </cell>
          <cell r="C129">
            <v>46119</v>
          </cell>
        </row>
        <row r="130">
          <cell r="A130" t="str">
            <v>JXG63561</v>
          </cell>
          <cell r="B130" t="str">
            <v>秋128-JXG63561</v>
          </cell>
          <cell r="C130">
            <v>46119</v>
          </cell>
        </row>
        <row r="131">
          <cell r="A131" t="str">
            <v>JXG63568</v>
          </cell>
          <cell r="B131" t="str">
            <v>秋130-JXG63568</v>
          </cell>
          <cell r="C131">
            <v>46119</v>
          </cell>
        </row>
        <row r="132">
          <cell r="A132" t="str">
            <v>JCG63025</v>
          </cell>
          <cell r="B132" t="str">
            <v>秋132-JCG63025</v>
          </cell>
          <cell r="C132">
            <v>46119</v>
          </cell>
        </row>
        <row r="133">
          <cell r="A133" t="str">
            <v>JGG63027</v>
          </cell>
          <cell r="B133" t="str">
            <v>秋133-JGG63027</v>
          </cell>
          <cell r="C133">
            <v>46119</v>
          </cell>
        </row>
        <row r="134">
          <cell r="A134" t="str">
            <v>JKG63026</v>
          </cell>
          <cell r="B134" t="str">
            <v>秋135-JKG63026</v>
          </cell>
          <cell r="C134">
            <v>46119</v>
          </cell>
        </row>
        <row r="135">
          <cell r="A135" t="str">
            <v>JXG63567</v>
          </cell>
          <cell r="B135" t="str">
            <v>秋129-JXG63567</v>
          </cell>
          <cell r="C135">
            <v>46120</v>
          </cell>
        </row>
        <row r="136">
          <cell r="A136" t="str">
            <v>JTG65807</v>
          </cell>
          <cell r="B136" t="str">
            <v>深秋12-JTG65807</v>
          </cell>
          <cell r="C136">
            <v>46120</v>
          </cell>
        </row>
        <row r="137">
          <cell r="A137" t="str">
            <v>JMG63608</v>
          </cell>
          <cell r="B137" t="str">
            <v>秋23-JMG63608</v>
          </cell>
          <cell r="C137">
            <v>46120</v>
          </cell>
        </row>
        <row r="138">
          <cell r="A138" t="str">
            <v>JQG63622</v>
          </cell>
          <cell r="B138" t="str">
            <v>秋82-JQG63622</v>
          </cell>
          <cell r="C138">
            <v>46120</v>
          </cell>
        </row>
        <row r="139">
          <cell r="A139" t="str">
            <v>JJN63559</v>
          </cell>
          <cell r="B139" t="str">
            <v>秋116-JJN63559</v>
          </cell>
          <cell r="C139">
            <v>46120</v>
          </cell>
        </row>
        <row r="140">
          <cell r="A140" t="str">
            <v>JJG63028</v>
          </cell>
          <cell r="B140" t="str">
            <v>秋134-JJG63028</v>
          </cell>
          <cell r="C140">
            <v>46121</v>
          </cell>
        </row>
        <row r="141">
          <cell r="A141" t="str">
            <v>JXB63642</v>
          </cell>
          <cell r="B141" t="str">
            <v>秋183-JXB63642</v>
          </cell>
          <cell r="C141">
            <v>46121</v>
          </cell>
        </row>
        <row r="142">
          <cell r="A142" t="str">
            <v>JXB63643</v>
          </cell>
          <cell r="B142" t="str">
            <v>秋184-JXB63643</v>
          </cell>
          <cell r="C142">
            <v>46121</v>
          </cell>
        </row>
        <row r="143">
          <cell r="A143" t="str">
            <v>JXN63660</v>
          </cell>
          <cell r="B143" t="str">
            <v>秋185-JXN63660</v>
          </cell>
          <cell r="C143">
            <v>46121</v>
          </cell>
        </row>
        <row r="144">
          <cell r="A144" t="str">
            <v>JXG63577</v>
          </cell>
          <cell r="B144" t="str">
            <v>秋196-JXG63577</v>
          </cell>
          <cell r="C144">
            <v>46121</v>
          </cell>
        </row>
        <row r="145">
          <cell r="A145" t="str">
            <v>JTG63630</v>
          </cell>
          <cell r="B145" t="str">
            <v>秋85-JTG63630</v>
          </cell>
          <cell r="C145">
            <v>46121</v>
          </cell>
        </row>
        <row r="146">
          <cell r="A146" t="str">
            <v>JXG63815</v>
          </cell>
          <cell r="B146" t="str">
            <v>秋110-JXG63815</v>
          </cell>
          <cell r="C146">
            <v>46121</v>
          </cell>
        </row>
        <row r="147">
          <cell r="A147" t="str">
            <v>JXG63828</v>
          </cell>
          <cell r="B147" t="str">
            <v>秋147-JXG63828</v>
          </cell>
          <cell r="C147">
            <v>46122</v>
          </cell>
        </row>
        <row r="148">
          <cell r="A148" t="str">
            <v>JTG63832</v>
          </cell>
          <cell r="B148" t="str">
            <v>秋153-JTG63832</v>
          </cell>
          <cell r="C148">
            <v>46122</v>
          </cell>
        </row>
        <row r="149">
          <cell r="A149" t="str">
            <v>JTB63560</v>
          </cell>
          <cell r="B149" t="str">
            <v>秋122-JTB63560</v>
          </cell>
          <cell r="C149">
            <v>46122</v>
          </cell>
        </row>
        <row r="150">
          <cell r="A150" t="str">
            <v>JAN64506</v>
          </cell>
          <cell r="B150" t="str">
            <v>冬25-JAN64506</v>
          </cell>
          <cell r="C150">
            <v>46124</v>
          </cell>
        </row>
        <row r="151">
          <cell r="A151" t="str">
            <v>JKG63812</v>
          </cell>
          <cell r="B151" t="str">
            <v>秋235-JKG63812</v>
          </cell>
          <cell r="C151">
            <v>46124</v>
          </cell>
        </row>
        <row r="152">
          <cell r="A152" t="str">
            <v>JJG64503</v>
          </cell>
          <cell r="B152" t="str">
            <v>冬5-JJG64503</v>
          </cell>
          <cell r="C152">
            <v>46124</v>
          </cell>
        </row>
        <row r="153">
          <cell r="A153" t="str">
            <v>JMG63816</v>
          </cell>
          <cell r="B153" t="str">
            <v>秋105-JMG63816</v>
          </cell>
          <cell r="C153">
            <v>46125</v>
          </cell>
        </row>
        <row r="154">
          <cell r="A154" t="str">
            <v>JTG63825</v>
          </cell>
          <cell r="B154" t="str">
            <v>秋109-JTG63825</v>
          </cell>
          <cell r="C154">
            <v>46125</v>
          </cell>
        </row>
        <row r="155">
          <cell r="A155" t="str">
            <v>JQG63024</v>
          </cell>
          <cell r="B155" t="str">
            <v>秋139-JQG63024</v>
          </cell>
          <cell r="C155">
            <v>46125</v>
          </cell>
        </row>
        <row r="156">
          <cell r="A156" t="str">
            <v>JRG63829</v>
          </cell>
          <cell r="B156" t="str">
            <v>秋149-JRG63829</v>
          </cell>
          <cell r="C156">
            <v>46125</v>
          </cell>
        </row>
        <row r="157">
          <cell r="A157" t="str">
            <v>JTG63826</v>
          </cell>
          <cell r="B157" t="str">
            <v>秋151-JTG63826</v>
          </cell>
          <cell r="C157">
            <v>46125</v>
          </cell>
        </row>
        <row r="158">
          <cell r="A158" t="str">
            <v>JJG63641</v>
          </cell>
          <cell r="B158" t="str">
            <v>秋166-JJG63641</v>
          </cell>
          <cell r="C158">
            <v>46125</v>
          </cell>
        </row>
        <row r="159">
          <cell r="A159" t="str">
            <v>JKG63647</v>
          </cell>
          <cell r="B159" t="str">
            <v>秋172-JKG63647</v>
          </cell>
          <cell r="C159">
            <v>46125</v>
          </cell>
        </row>
        <row r="160">
          <cell r="A160" t="str">
            <v>JLB63645</v>
          </cell>
          <cell r="B160" t="str">
            <v>秋174-JLB63645</v>
          </cell>
          <cell r="C160">
            <v>46125</v>
          </cell>
        </row>
        <row r="161">
          <cell r="A161" t="str">
            <v>JRB63636</v>
          </cell>
          <cell r="B161" t="str">
            <v>秋180-JRB63636</v>
          </cell>
          <cell r="C161">
            <v>46125</v>
          </cell>
        </row>
        <row r="162">
          <cell r="A162" t="str">
            <v>JGG63606</v>
          </cell>
          <cell r="B162" t="str">
            <v>秋17-JGG63606</v>
          </cell>
          <cell r="C162">
            <v>46125</v>
          </cell>
        </row>
        <row r="163">
          <cell r="A163" t="str">
            <v>JCG63015</v>
          </cell>
          <cell r="B163" t="str">
            <v>秋89-JCG63015</v>
          </cell>
          <cell r="C163">
            <v>46125</v>
          </cell>
        </row>
        <row r="164">
          <cell r="A164" t="str">
            <v>JJB63638</v>
          </cell>
          <cell r="B164" t="str">
            <v>秋160-JJB63638</v>
          </cell>
          <cell r="C164">
            <v>46126</v>
          </cell>
        </row>
        <row r="165">
          <cell r="A165" t="str">
            <v>JJB63639</v>
          </cell>
          <cell r="B165" t="str">
            <v>秋161-JJB63639</v>
          </cell>
          <cell r="C165">
            <v>46126</v>
          </cell>
        </row>
        <row r="166">
          <cell r="A166" t="str">
            <v>JJB63640</v>
          </cell>
          <cell r="B166" t="str">
            <v>秋162-JJB63640</v>
          </cell>
          <cell r="C166">
            <v>46126</v>
          </cell>
        </row>
        <row r="167">
          <cell r="A167" t="str">
            <v>JQG65804</v>
          </cell>
          <cell r="B167" t="str">
            <v>深秋8-JQG65804</v>
          </cell>
          <cell r="C167">
            <v>46126</v>
          </cell>
        </row>
        <row r="168">
          <cell r="A168" t="str">
            <v>JQG63623</v>
          </cell>
          <cell r="B168" t="str">
            <v>秋83-JQG63623</v>
          </cell>
          <cell r="C168">
            <v>46126</v>
          </cell>
        </row>
        <row r="169">
          <cell r="A169" t="str">
            <v>JJG63806</v>
          </cell>
          <cell r="B169" t="str">
            <v>秋100-JJG63806</v>
          </cell>
          <cell r="C169">
            <v>46126</v>
          </cell>
        </row>
        <row r="170">
          <cell r="A170" t="str">
            <v>JTG63831</v>
          </cell>
          <cell r="B170" t="str">
            <v>秋152-JTG63831</v>
          </cell>
          <cell r="C170">
            <v>46126</v>
          </cell>
        </row>
        <row r="171">
          <cell r="A171" t="str">
            <v>JTB63033</v>
          </cell>
          <cell r="B171" t="str">
            <v>秋143-JTB63033</v>
          </cell>
          <cell r="C171">
            <v>46128</v>
          </cell>
        </row>
        <row r="172">
          <cell r="A172" t="str">
            <v>JRG63830</v>
          </cell>
          <cell r="B172" t="str">
            <v>秋150-JRG63830</v>
          </cell>
          <cell r="C172">
            <v>46128</v>
          </cell>
        </row>
        <row r="173">
          <cell r="A173" t="str">
            <v>JCB63644</v>
          </cell>
          <cell r="B173" t="str">
            <v>秋157-JCB63644</v>
          </cell>
          <cell r="C173">
            <v>46128</v>
          </cell>
        </row>
        <row r="174">
          <cell r="A174" t="str">
            <v>JJB63637</v>
          </cell>
          <cell r="B174" t="str">
            <v>秋159-JJB63637</v>
          </cell>
          <cell r="C174">
            <v>46128</v>
          </cell>
        </row>
        <row r="175">
          <cell r="A175" t="str">
            <v>JJB63650</v>
          </cell>
          <cell r="B175" t="str">
            <v>秋164-JJB63650</v>
          </cell>
          <cell r="C175">
            <v>46128</v>
          </cell>
        </row>
        <row r="176">
          <cell r="A176" t="str">
            <v>JJB63665</v>
          </cell>
          <cell r="B176" t="str">
            <v>秋165-JJB63665</v>
          </cell>
          <cell r="C176">
            <v>46128</v>
          </cell>
        </row>
        <row r="177">
          <cell r="A177" t="str">
            <v>JKB63651</v>
          </cell>
          <cell r="B177" t="str">
            <v>秋171-JKB63651</v>
          </cell>
          <cell r="C177">
            <v>46128</v>
          </cell>
        </row>
        <row r="178">
          <cell r="A178" t="str">
            <v>JTB63652</v>
          </cell>
          <cell r="B178" t="str">
            <v>秋181-JTB63652</v>
          </cell>
          <cell r="C178">
            <v>46128</v>
          </cell>
        </row>
        <row r="179">
          <cell r="A179" t="str">
            <v>JJG63575</v>
          </cell>
          <cell r="B179" t="str">
            <v>秋188-JJG63575</v>
          </cell>
          <cell r="C179">
            <v>46128</v>
          </cell>
        </row>
        <row r="180">
          <cell r="A180" t="str">
            <v>JKG63585</v>
          </cell>
          <cell r="B180" t="str">
            <v>秋191-JKG63585</v>
          </cell>
          <cell r="C180">
            <v>46128</v>
          </cell>
        </row>
        <row r="181">
          <cell r="A181" t="str">
            <v>JTG63576</v>
          </cell>
          <cell r="B181" t="str">
            <v>秋195-JTG63576</v>
          </cell>
          <cell r="C181">
            <v>46128</v>
          </cell>
        </row>
        <row r="182">
          <cell r="A182" t="str">
            <v>JJG63034</v>
          </cell>
          <cell r="B182" t="str">
            <v>秋206-JJG63034</v>
          </cell>
          <cell r="C182">
            <v>46128</v>
          </cell>
        </row>
        <row r="183">
          <cell r="A183" t="str">
            <v>JXG63039</v>
          </cell>
          <cell r="B183" t="str">
            <v>秋212-JXG63039</v>
          </cell>
          <cell r="C183">
            <v>46128</v>
          </cell>
        </row>
        <row r="184">
          <cell r="A184" t="str">
            <v>JXG63040</v>
          </cell>
          <cell r="B184" t="str">
            <v>秋213-JXG63040</v>
          </cell>
          <cell r="C184">
            <v>46128</v>
          </cell>
        </row>
        <row r="185">
          <cell r="A185" t="str">
            <v>JJG63846</v>
          </cell>
          <cell r="B185" t="str">
            <v>秋217-JJG63846</v>
          </cell>
          <cell r="C185">
            <v>46128</v>
          </cell>
        </row>
        <row r="186">
          <cell r="A186" t="str">
            <v>JJG63847</v>
          </cell>
          <cell r="B186" t="str">
            <v>秋218-JJG63847</v>
          </cell>
          <cell r="C186">
            <v>46128</v>
          </cell>
        </row>
        <row r="187">
          <cell r="A187" t="str">
            <v>JJN65801</v>
          </cell>
          <cell r="B187" t="str">
            <v>深秋5-JJN65801</v>
          </cell>
          <cell r="C187">
            <v>46128</v>
          </cell>
        </row>
        <row r="188">
          <cell r="A188" t="str">
            <v>JKG65803</v>
          </cell>
          <cell r="B188" t="str">
            <v>深秋6-JKG65803</v>
          </cell>
          <cell r="C188">
            <v>46128</v>
          </cell>
        </row>
        <row r="189">
          <cell r="A189" t="str">
            <v>JJG63632</v>
          </cell>
          <cell r="B189" t="str">
            <v>秋77-JJG63632</v>
          </cell>
          <cell r="C189">
            <v>46128</v>
          </cell>
        </row>
        <row r="190">
          <cell r="A190" t="str">
            <v>JTG63822</v>
          </cell>
          <cell r="B190" t="str">
            <v>秋108-JTG63822</v>
          </cell>
          <cell r="C190">
            <v>46128</v>
          </cell>
        </row>
        <row r="191">
          <cell r="A191" t="str">
            <v>JRB63032</v>
          </cell>
          <cell r="B191" t="str">
            <v>秋141-JRB63032</v>
          </cell>
          <cell r="C191">
            <v>46128</v>
          </cell>
        </row>
        <row r="192">
          <cell r="A192" t="str">
            <v>JTB63021</v>
          </cell>
          <cell r="B192" t="str">
            <v>秋142-JTB63021</v>
          </cell>
          <cell r="C192">
            <v>46128</v>
          </cell>
        </row>
        <row r="193">
          <cell r="A193" t="str">
            <v>JLG63653</v>
          </cell>
          <cell r="B193" t="str">
            <v>秋175-JLG63653</v>
          </cell>
          <cell r="C193">
            <v>46129</v>
          </cell>
        </row>
        <row r="194">
          <cell r="A194" t="str">
            <v>JLG63657</v>
          </cell>
          <cell r="B194" t="str">
            <v>秋178-JLG63657</v>
          </cell>
          <cell r="C194">
            <v>46129</v>
          </cell>
        </row>
        <row r="195">
          <cell r="A195" t="str">
            <v>JQG63666</v>
          </cell>
          <cell r="B195" t="str">
            <v>秋179-JQG63666</v>
          </cell>
          <cell r="C195">
            <v>46129</v>
          </cell>
        </row>
        <row r="196">
          <cell r="A196" t="str">
            <v>JTG63648</v>
          </cell>
          <cell r="B196" t="str">
            <v>秋201-JTG63648</v>
          </cell>
          <cell r="C196">
            <v>46129</v>
          </cell>
        </row>
        <row r="197">
          <cell r="A197" t="str">
            <v>JTB63037</v>
          </cell>
          <cell r="B197" t="str">
            <v>秋210-JTB63037</v>
          </cell>
          <cell r="C197">
            <v>46129</v>
          </cell>
        </row>
        <row r="198">
          <cell r="A198" t="str">
            <v>JJN63845</v>
          </cell>
          <cell r="B198" t="str">
            <v>秋220-JJN63845</v>
          </cell>
          <cell r="C198">
            <v>46129</v>
          </cell>
        </row>
        <row r="199">
          <cell r="A199" t="str">
            <v>JTG63835</v>
          </cell>
          <cell r="B199" t="str">
            <v>秋229-JTG63835</v>
          </cell>
          <cell r="C199">
            <v>46129</v>
          </cell>
        </row>
        <row r="200">
          <cell r="A200" t="str">
            <v>JXG63595</v>
          </cell>
          <cell r="B200" t="str">
            <v>秋243-JXG63595</v>
          </cell>
          <cell r="C200">
            <v>46129</v>
          </cell>
        </row>
        <row r="201">
          <cell r="A201" t="str">
            <v>JXG63676</v>
          </cell>
          <cell r="B201" t="str">
            <v>秋250-JXG63676</v>
          </cell>
          <cell r="C201">
            <v>46129</v>
          </cell>
        </row>
        <row r="202">
          <cell r="A202" t="str">
            <v>JQG63823</v>
          </cell>
          <cell r="B202" t="str">
            <v>秋106-JQG63823</v>
          </cell>
          <cell r="C202">
            <v>46129</v>
          </cell>
        </row>
        <row r="203">
          <cell r="A203" t="str">
            <v>JJG63664</v>
          </cell>
          <cell r="B203" t="str">
            <v>秋170-JJG63664</v>
          </cell>
          <cell r="C203">
            <v>46129</v>
          </cell>
        </row>
        <row r="204">
          <cell r="A204" t="str">
            <v>JXG63677</v>
          </cell>
          <cell r="B204" t="str">
            <v>秋251-JXG63677</v>
          </cell>
          <cell r="C204">
            <v>46130</v>
          </cell>
        </row>
        <row r="205">
          <cell r="A205" t="str">
            <v>JXN63675</v>
          </cell>
          <cell r="B205" t="str">
            <v>秋252-JXN63675</v>
          </cell>
          <cell r="C205">
            <v>46130</v>
          </cell>
        </row>
        <row r="206">
          <cell r="A206" t="str">
            <v>JKG63583</v>
          </cell>
          <cell r="B206" t="str">
            <v>秋190-JKG63583</v>
          </cell>
          <cell r="C206">
            <v>46130</v>
          </cell>
        </row>
        <row r="207">
          <cell r="A207" t="str">
            <v>JQG63578</v>
          </cell>
          <cell r="B207" t="str">
            <v>秋193-JQG63578</v>
          </cell>
          <cell r="C207">
            <v>46130</v>
          </cell>
        </row>
        <row r="208">
          <cell r="A208" t="str">
            <v>JQG63590</v>
          </cell>
          <cell r="B208" t="str">
            <v>秋238-JQG63590</v>
          </cell>
          <cell r="C208">
            <v>46130</v>
          </cell>
        </row>
        <row r="209">
          <cell r="A209" t="str">
            <v>JXB63587</v>
          </cell>
          <cell r="B209" t="str">
            <v>秋242-JXB63587</v>
          </cell>
          <cell r="C209">
            <v>46130</v>
          </cell>
        </row>
        <row r="210">
          <cell r="A210" t="str">
            <v>JCG63579</v>
          </cell>
          <cell r="B210" t="str">
            <v>秋186-JCG63579</v>
          </cell>
          <cell r="C210">
            <v>46132</v>
          </cell>
        </row>
        <row r="211">
          <cell r="A211" t="str">
            <v>JKG63580</v>
          </cell>
          <cell r="B211" t="str">
            <v>秋189-JKG63580</v>
          </cell>
          <cell r="C211">
            <v>46132</v>
          </cell>
        </row>
        <row r="212">
          <cell r="A212" t="str">
            <v>JTG63574</v>
          </cell>
          <cell r="B212" t="str">
            <v>秋194-JTG63574</v>
          </cell>
          <cell r="C212">
            <v>46132</v>
          </cell>
        </row>
        <row r="213">
          <cell r="A213" t="str">
            <v>JXG63581</v>
          </cell>
          <cell r="B213" t="str">
            <v>秋197-JXG63581</v>
          </cell>
          <cell r="C213">
            <v>46132</v>
          </cell>
        </row>
        <row r="214">
          <cell r="A214" t="str">
            <v>JXG63586</v>
          </cell>
          <cell r="B214" t="str">
            <v>秋199-JXG63586</v>
          </cell>
          <cell r="C214">
            <v>46132</v>
          </cell>
        </row>
        <row r="215">
          <cell r="A215" t="str">
            <v>JKG63658</v>
          </cell>
          <cell r="B215" t="str">
            <v>秋200-JKG63658</v>
          </cell>
          <cell r="C215">
            <v>46132</v>
          </cell>
        </row>
        <row r="216">
          <cell r="A216" t="str">
            <v>JTG63036</v>
          </cell>
          <cell r="B216" t="str">
            <v>秋211-JTG63036</v>
          </cell>
          <cell r="C216">
            <v>46132</v>
          </cell>
        </row>
        <row r="217">
          <cell r="A217" t="str">
            <v>JTG63833</v>
          </cell>
          <cell r="B217" t="str">
            <v>秋227-JTG63833</v>
          </cell>
          <cell r="C217">
            <v>46132</v>
          </cell>
        </row>
        <row r="218">
          <cell r="A218" t="str">
            <v>JKG65008</v>
          </cell>
          <cell r="B218" t="str">
            <v>深秋11-JKG65008</v>
          </cell>
          <cell r="C218">
            <v>46132</v>
          </cell>
        </row>
        <row r="219">
          <cell r="A219" t="str">
            <v>JKG65002</v>
          </cell>
          <cell r="B219" t="str">
            <v>深秋20-JKG65002</v>
          </cell>
          <cell r="C219">
            <v>46132</v>
          </cell>
        </row>
        <row r="220">
          <cell r="A220" t="str">
            <v>JAN64505</v>
          </cell>
          <cell r="B220" t="str">
            <v>冬29-JAN64505</v>
          </cell>
          <cell r="C220">
            <v>46132</v>
          </cell>
        </row>
        <row r="221">
          <cell r="A221" t="str">
            <v>JNG63557</v>
          </cell>
          <cell r="B221" t="str">
            <v>秋119-JNG63557</v>
          </cell>
          <cell r="C221">
            <v>46133</v>
          </cell>
        </row>
        <row r="222">
          <cell r="A222" t="str">
            <v>JJG63663</v>
          </cell>
          <cell r="B222" t="str">
            <v>秋169-JJG63663</v>
          </cell>
          <cell r="C222">
            <v>46133</v>
          </cell>
        </row>
        <row r="223">
          <cell r="A223" t="str">
            <v>JLG63655</v>
          </cell>
          <cell r="B223" t="str">
            <v>秋176-JLG63655</v>
          </cell>
          <cell r="C223">
            <v>46133</v>
          </cell>
        </row>
        <row r="224">
          <cell r="A224" t="str">
            <v>JDG63048</v>
          </cell>
          <cell r="B224" t="str">
            <v>秋203-JDG63048</v>
          </cell>
          <cell r="C224">
            <v>46133</v>
          </cell>
        </row>
        <row r="225">
          <cell r="A225" t="str">
            <v>JNG63849</v>
          </cell>
          <cell r="B225" t="str">
            <v>秋223-JNG63849</v>
          </cell>
          <cell r="C225">
            <v>46133</v>
          </cell>
        </row>
        <row r="226">
          <cell r="A226" t="str">
            <v>JQG63840</v>
          </cell>
          <cell r="B226" t="str">
            <v>秋225-JQG63840</v>
          </cell>
          <cell r="C226">
            <v>46133</v>
          </cell>
        </row>
        <row r="227">
          <cell r="A227" t="str">
            <v>JQG63841</v>
          </cell>
          <cell r="B227" t="str">
            <v>秋226-JQG63841</v>
          </cell>
          <cell r="C227">
            <v>46133</v>
          </cell>
        </row>
        <row r="228">
          <cell r="A228" t="str">
            <v>JKG63591</v>
          </cell>
          <cell r="B228" t="str">
            <v>秋236-JKG63591</v>
          </cell>
          <cell r="C228">
            <v>46133</v>
          </cell>
        </row>
        <row r="229">
          <cell r="A229" t="str">
            <v>JQG63589</v>
          </cell>
          <cell r="B229" t="str">
            <v>秋237-JQG63589</v>
          </cell>
          <cell r="C229">
            <v>46133</v>
          </cell>
        </row>
        <row r="230">
          <cell r="A230" t="str">
            <v>JRB63588</v>
          </cell>
          <cell r="B230" t="str">
            <v>秋239-JRB63588</v>
          </cell>
          <cell r="C230">
            <v>46133</v>
          </cell>
        </row>
        <row r="231">
          <cell r="A231" t="str">
            <v>JTB63593</v>
          </cell>
          <cell r="B231" t="str">
            <v>秋241-JTB63593</v>
          </cell>
          <cell r="C231">
            <v>46133</v>
          </cell>
        </row>
        <row r="232">
          <cell r="A232" t="str">
            <v>JAG64813</v>
          </cell>
          <cell r="B232" t="str">
            <v>冬6-JAG64813</v>
          </cell>
          <cell r="C232">
            <v>46133</v>
          </cell>
        </row>
        <row r="233">
          <cell r="A233" t="str">
            <v>JKG63049</v>
          </cell>
          <cell r="B233" t="str">
            <v>秋207-JKG63049</v>
          </cell>
          <cell r="C233">
            <v>46134</v>
          </cell>
        </row>
        <row r="234">
          <cell r="A234" t="str">
            <v>JCG63836</v>
          </cell>
          <cell r="B234" t="str">
            <v>秋214-JCG63836</v>
          </cell>
          <cell r="C234">
            <v>46134</v>
          </cell>
        </row>
        <row r="235">
          <cell r="A235" t="str">
            <v>JHG63851</v>
          </cell>
          <cell r="B235" t="str">
            <v>秋216-JHG63851</v>
          </cell>
          <cell r="C235">
            <v>46134</v>
          </cell>
        </row>
        <row r="236">
          <cell r="A236" t="str">
            <v>JTG63839</v>
          </cell>
          <cell r="B236" t="str">
            <v>秋230-JTG63839</v>
          </cell>
          <cell r="C236">
            <v>46134</v>
          </cell>
        </row>
        <row r="237">
          <cell r="A237" t="str">
            <v>JXG63842</v>
          </cell>
          <cell r="B237" t="str">
            <v>秋232-JXG63842</v>
          </cell>
          <cell r="C237">
            <v>46134</v>
          </cell>
        </row>
        <row r="238">
          <cell r="A238" t="str">
            <v>JXB63691</v>
          </cell>
          <cell r="B238" t="str">
            <v>秋280-JXB63691</v>
          </cell>
          <cell r="C238">
            <v>46134</v>
          </cell>
        </row>
        <row r="239">
          <cell r="A239" t="str">
            <v>JJG63450</v>
          </cell>
          <cell r="B239" t="str">
            <v>秋287-JJG63450</v>
          </cell>
          <cell r="C239">
            <v>46134</v>
          </cell>
        </row>
        <row r="240">
          <cell r="A240" t="str">
            <v>JRG63464</v>
          </cell>
          <cell r="B240" t="str">
            <v>秋294-JRG63464</v>
          </cell>
          <cell r="C240">
            <v>46134</v>
          </cell>
        </row>
        <row r="241">
          <cell r="A241" t="str">
            <v>JJG65001</v>
          </cell>
          <cell r="B241" t="str">
            <v>深秋13-JJG65001</v>
          </cell>
          <cell r="C241">
            <v>46134</v>
          </cell>
        </row>
        <row r="242">
          <cell r="A242" t="str">
            <v>JKN63659</v>
          </cell>
          <cell r="B242" t="str">
            <v>秋173-JKN63659</v>
          </cell>
          <cell r="C242">
            <v>46134</v>
          </cell>
        </row>
        <row r="243">
          <cell r="A243" t="str">
            <v>JGB63046</v>
          </cell>
          <cell r="B243" t="str">
            <v>秋204-JGB63046</v>
          </cell>
          <cell r="C243">
            <v>46134</v>
          </cell>
        </row>
        <row r="244">
          <cell r="A244" t="str">
            <v>JLG63584</v>
          </cell>
          <cell r="B244" t="str">
            <v>秋192-JLG63584</v>
          </cell>
          <cell r="C244">
            <v>46135</v>
          </cell>
        </row>
        <row r="245">
          <cell r="A245" t="str">
            <v>JLG63043</v>
          </cell>
          <cell r="B245" t="str">
            <v>秋208-JLG63043</v>
          </cell>
          <cell r="C245">
            <v>46135</v>
          </cell>
        </row>
        <row r="246">
          <cell r="A246" t="str">
            <v>JCG63838</v>
          </cell>
          <cell r="B246" t="str">
            <v>秋215-JCG63838</v>
          </cell>
          <cell r="C246">
            <v>46135</v>
          </cell>
        </row>
        <row r="247">
          <cell r="A247" t="str">
            <v>JLG63843</v>
          </cell>
          <cell r="B247" t="str">
            <v>秋222-JLG63843</v>
          </cell>
          <cell r="C247">
            <v>46135</v>
          </cell>
        </row>
        <row r="248">
          <cell r="A248" t="str">
            <v>JLG63656</v>
          </cell>
          <cell r="B248" t="str">
            <v>秋177-JLG63656</v>
          </cell>
          <cell r="C248">
            <v>46135</v>
          </cell>
        </row>
        <row r="249">
          <cell r="A249" t="str">
            <v>JTG63667</v>
          </cell>
          <cell r="B249" t="str">
            <v>秋182-JTG63667</v>
          </cell>
          <cell r="C249">
            <v>46135</v>
          </cell>
        </row>
        <row r="250">
          <cell r="A250" t="str">
            <v>JJG63558</v>
          </cell>
          <cell r="B250" t="str">
            <v>秋187-JJG63558</v>
          </cell>
          <cell r="C250">
            <v>46135</v>
          </cell>
        </row>
        <row r="251">
          <cell r="A251" t="str">
            <v>JKG63848</v>
          </cell>
          <cell r="B251" t="str">
            <v>秋221-JKG63848</v>
          </cell>
          <cell r="C251">
            <v>46136</v>
          </cell>
        </row>
        <row r="252">
          <cell r="A252" t="str">
            <v>JQG63837</v>
          </cell>
          <cell r="B252" t="str">
            <v>秋224-JQG63837</v>
          </cell>
          <cell r="C252">
            <v>46136</v>
          </cell>
        </row>
        <row r="253">
          <cell r="A253" t="str">
            <v>JZG63850</v>
          </cell>
          <cell r="B253" t="str">
            <v>秋234-JZG63850</v>
          </cell>
          <cell r="C253">
            <v>46136</v>
          </cell>
        </row>
        <row r="254">
          <cell r="A254" t="str">
            <v>JKG63038</v>
          </cell>
          <cell r="B254" t="str">
            <v>秋262-JKG63038</v>
          </cell>
          <cell r="C254">
            <v>46136</v>
          </cell>
        </row>
        <row r="255">
          <cell r="A255" t="str">
            <v>JKG63059</v>
          </cell>
          <cell r="B255" t="str">
            <v>秋263-JKG63059</v>
          </cell>
          <cell r="C255">
            <v>46136</v>
          </cell>
        </row>
        <row r="256">
          <cell r="A256" t="str">
            <v>JJG63060</v>
          </cell>
          <cell r="B256" t="str">
            <v>秋268-JJG63060</v>
          </cell>
          <cell r="C256">
            <v>46136</v>
          </cell>
        </row>
        <row r="257">
          <cell r="A257" t="str">
            <v>JGB63646</v>
          </cell>
          <cell r="B257" t="str">
            <v>秋158-JGB63646</v>
          </cell>
          <cell r="C257">
            <v>46136</v>
          </cell>
        </row>
        <row r="258">
          <cell r="A258" t="str">
            <v>JJB63649</v>
          </cell>
          <cell r="B258" t="str">
            <v>秋163-JJB63649</v>
          </cell>
          <cell r="C258">
            <v>46136</v>
          </cell>
        </row>
        <row r="259">
          <cell r="A259" t="str">
            <v>JXG63582</v>
          </cell>
          <cell r="B259" t="str">
            <v>秋198-JXG63582</v>
          </cell>
          <cell r="C259">
            <v>46136</v>
          </cell>
        </row>
        <row r="260">
          <cell r="A260" t="str">
            <v>JGB63047</v>
          </cell>
          <cell r="B260" t="str">
            <v>秋205-JGB63047</v>
          </cell>
          <cell r="C260">
            <v>46136</v>
          </cell>
        </row>
        <row r="261">
          <cell r="A261" t="str">
            <v>JXG63872</v>
          </cell>
          <cell r="B261" t="str">
            <v>秋325-JXG63872</v>
          </cell>
          <cell r="C261">
            <v>46139</v>
          </cell>
        </row>
        <row r="262">
          <cell r="A262" t="str">
            <v>JTG63468</v>
          </cell>
          <cell r="B262" t="str">
            <v>秋338-JTG63468</v>
          </cell>
          <cell r="C262">
            <v>46139</v>
          </cell>
        </row>
        <row r="263">
          <cell r="A263" t="str">
            <v>JTB63592</v>
          </cell>
          <cell r="B263" t="str">
            <v>秋240-JTB63592</v>
          </cell>
          <cell r="C263">
            <v>46139</v>
          </cell>
        </row>
        <row r="264">
          <cell r="A264" t="str">
            <v>JRG63672</v>
          </cell>
          <cell r="B264" t="str">
            <v>秋246-JRG63672</v>
          </cell>
          <cell r="C264">
            <v>46139</v>
          </cell>
        </row>
        <row r="265">
          <cell r="A265" t="str">
            <v>JLG63680</v>
          </cell>
          <cell r="B265" t="str">
            <v>秋275-JLG63680</v>
          </cell>
          <cell r="C265">
            <v>46139</v>
          </cell>
        </row>
        <row r="266">
          <cell r="A266" t="str">
            <v>JTG63692</v>
          </cell>
          <cell r="B266" t="str">
            <v>秋279-JTG63692</v>
          </cell>
          <cell r="C266">
            <v>46139</v>
          </cell>
        </row>
        <row r="267">
          <cell r="A267" t="str">
            <v>JXG63683</v>
          </cell>
          <cell r="B267" t="str">
            <v>秋281-JXG63683</v>
          </cell>
          <cell r="C267">
            <v>46139</v>
          </cell>
        </row>
        <row r="268">
          <cell r="A268" t="str">
            <v>JXG63685</v>
          </cell>
          <cell r="B268" t="str">
            <v>秋283-JXG63685</v>
          </cell>
          <cell r="C268">
            <v>46139</v>
          </cell>
        </row>
        <row r="269">
          <cell r="A269" t="str">
            <v>JXG63690</v>
          </cell>
          <cell r="B269" t="str">
            <v>秋284-JXG63690</v>
          </cell>
          <cell r="C269">
            <v>46139</v>
          </cell>
        </row>
        <row r="270">
          <cell r="A270" t="str">
            <v>JDG63457</v>
          </cell>
          <cell r="B270" t="str">
            <v>秋285-JDG63457</v>
          </cell>
          <cell r="C270">
            <v>46139</v>
          </cell>
        </row>
        <row r="271">
          <cell r="A271" t="str">
            <v>JLG63461</v>
          </cell>
          <cell r="B271" t="str">
            <v>秋292-JLG63461</v>
          </cell>
          <cell r="C271">
            <v>46139</v>
          </cell>
        </row>
        <row r="272">
          <cell r="A272" t="str">
            <v>JTG63463</v>
          </cell>
          <cell r="B272" t="str">
            <v>秋298-JTG63463</v>
          </cell>
          <cell r="C272">
            <v>46139</v>
          </cell>
        </row>
        <row r="273">
          <cell r="A273" t="str">
            <v>JJG63661</v>
          </cell>
          <cell r="B273" t="str">
            <v>秋167-JJG63661</v>
          </cell>
          <cell r="C273">
            <v>46140</v>
          </cell>
        </row>
        <row r="274">
          <cell r="A274" t="str">
            <v>JJG63662</v>
          </cell>
          <cell r="B274" t="str">
            <v>秋168-JJG63662</v>
          </cell>
          <cell r="C274">
            <v>46140</v>
          </cell>
        </row>
        <row r="275">
          <cell r="A275" t="str">
            <v>JJG63670</v>
          </cell>
          <cell r="B275" t="str">
            <v>秋244-JJG63670</v>
          </cell>
          <cell r="C275">
            <v>46140</v>
          </cell>
        </row>
        <row r="276">
          <cell r="A276" t="str">
            <v>JTG63668</v>
          </cell>
          <cell r="B276" t="str">
            <v>秋247-JTG63668</v>
          </cell>
          <cell r="C276">
            <v>46140</v>
          </cell>
        </row>
        <row r="277">
          <cell r="A277" t="str">
            <v>JXG63050</v>
          </cell>
          <cell r="B277" t="str">
            <v>秋266-JXG63050</v>
          </cell>
          <cell r="C277">
            <v>46140</v>
          </cell>
        </row>
        <row r="278">
          <cell r="A278" t="str">
            <v>JKB63688</v>
          </cell>
          <cell r="B278" t="str">
            <v>秋272-JKB63688</v>
          </cell>
          <cell r="C278">
            <v>46140</v>
          </cell>
        </row>
        <row r="279">
          <cell r="A279" t="str">
            <v>JLG63679</v>
          </cell>
          <cell r="B279" t="str">
            <v>秋274-JLG63679</v>
          </cell>
          <cell r="C279">
            <v>46140</v>
          </cell>
        </row>
        <row r="280">
          <cell r="A280" t="str">
            <v>JLG63681</v>
          </cell>
          <cell r="B280" t="str">
            <v>秋276-JLG63681</v>
          </cell>
          <cell r="C280">
            <v>46140</v>
          </cell>
        </row>
        <row r="281">
          <cell r="A281" t="str">
            <v>JHG63599</v>
          </cell>
          <cell r="B281" t="str">
            <v>秋286-JHG63599</v>
          </cell>
          <cell r="C281">
            <v>46140</v>
          </cell>
        </row>
        <row r="282">
          <cell r="A282" t="str">
            <v>JJG63451</v>
          </cell>
          <cell r="B282" t="str">
            <v>秋288-JJG63451</v>
          </cell>
          <cell r="C282">
            <v>46140</v>
          </cell>
        </row>
        <row r="283">
          <cell r="A283" t="str">
            <v>JJG63456</v>
          </cell>
          <cell r="B283" t="str">
            <v>秋289-JJG63456</v>
          </cell>
          <cell r="C283">
            <v>46140</v>
          </cell>
        </row>
        <row r="284">
          <cell r="A284" t="str">
            <v>JRG63455</v>
          </cell>
          <cell r="B284" t="str">
            <v>秋293-JRG63455</v>
          </cell>
          <cell r="C284">
            <v>46140</v>
          </cell>
        </row>
        <row r="285">
          <cell r="A285" t="str">
            <v>JTG63459</v>
          </cell>
          <cell r="B285" t="str">
            <v>秋296-JTG63459</v>
          </cell>
          <cell r="C285">
            <v>46140</v>
          </cell>
        </row>
        <row r="286">
          <cell r="A286" t="str">
            <v>JXG63452</v>
          </cell>
          <cell r="B286" t="str">
            <v>秋299-JXG63452</v>
          </cell>
          <cell r="C286">
            <v>46140</v>
          </cell>
        </row>
        <row r="287">
          <cell r="A287" t="str">
            <v>JTB63867</v>
          </cell>
          <cell r="B287" t="str">
            <v>秋316-JTB63867</v>
          </cell>
          <cell r="C287">
            <v>46140</v>
          </cell>
        </row>
        <row r="288">
          <cell r="A288" t="str">
            <v>JTG63870</v>
          </cell>
          <cell r="B288" t="str">
            <v>秋322-JTG63870</v>
          </cell>
          <cell r="C288">
            <v>46140</v>
          </cell>
        </row>
        <row r="289">
          <cell r="A289" t="str">
            <v>JXG63875</v>
          </cell>
          <cell r="B289" t="str">
            <v>秋326-JXG63875</v>
          </cell>
          <cell r="C289">
            <v>46140</v>
          </cell>
        </row>
        <row r="290">
          <cell r="A290" t="str">
            <v>JJG63042</v>
          </cell>
          <cell r="B290" t="str">
            <v>秋328-JJG63042</v>
          </cell>
          <cell r="C290">
            <v>46140</v>
          </cell>
        </row>
        <row r="291">
          <cell r="A291" t="str">
            <v>JTG63469</v>
          </cell>
          <cell r="B291" t="str">
            <v>秋339-JTG63469</v>
          </cell>
          <cell r="C291">
            <v>46140</v>
          </cell>
        </row>
        <row r="292">
          <cell r="A292" t="str">
            <v>JJB65808</v>
          </cell>
          <cell r="B292" t="str">
            <v>深秋2-JJB65808</v>
          </cell>
          <cell r="C292">
            <v>46140</v>
          </cell>
        </row>
        <row r="293">
          <cell r="A293" t="str">
            <v>JAG64817</v>
          </cell>
          <cell r="B293" t="str">
            <v>冬7-JAG64817</v>
          </cell>
          <cell r="C293">
            <v>46140</v>
          </cell>
        </row>
        <row r="294">
          <cell r="A294" t="str">
            <v>JXG63674</v>
          </cell>
          <cell r="B294" t="str">
            <v>秋249-JXG63674</v>
          </cell>
          <cell r="C294">
            <v>46141</v>
          </cell>
        </row>
        <row r="295">
          <cell r="A295" t="str">
            <v>JHN63057</v>
          </cell>
          <cell r="B295" t="str">
            <v>秋254-JHN63057</v>
          </cell>
          <cell r="C295">
            <v>46141</v>
          </cell>
        </row>
        <row r="296">
          <cell r="A296" t="str">
            <v>JJG63063</v>
          </cell>
          <cell r="B296" t="str">
            <v>秋260-JJG63063</v>
          </cell>
          <cell r="C296">
            <v>46141</v>
          </cell>
        </row>
        <row r="297">
          <cell r="A297" t="str">
            <v>JXG63052</v>
          </cell>
          <cell r="B297" t="str">
            <v>秋267-JXG63052</v>
          </cell>
          <cell r="C297">
            <v>46141</v>
          </cell>
        </row>
        <row r="298">
          <cell r="A298" t="str">
            <v>JKG63682</v>
          </cell>
          <cell r="B298" t="str">
            <v>秋273-JKG63682</v>
          </cell>
          <cell r="C298">
            <v>46141</v>
          </cell>
        </row>
        <row r="299">
          <cell r="A299" t="str">
            <v>JXG63684</v>
          </cell>
          <cell r="B299" t="str">
            <v>秋282-JXG63684</v>
          </cell>
          <cell r="C299">
            <v>46141</v>
          </cell>
        </row>
        <row r="300">
          <cell r="A300" t="str">
            <v>JTB63465</v>
          </cell>
          <cell r="B300" t="str">
            <v>秋295-JTB63465</v>
          </cell>
          <cell r="C300">
            <v>46141</v>
          </cell>
        </row>
        <row r="301">
          <cell r="A301" t="str">
            <v>JXG63453</v>
          </cell>
          <cell r="B301" t="str">
            <v>秋300-JXG63453</v>
          </cell>
          <cell r="C301">
            <v>46141</v>
          </cell>
        </row>
        <row r="302">
          <cell r="A302" t="str">
            <v>JXG63454</v>
          </cell>
          <cell r="B302" t="str">
            <v>秋301-JXG63454</v>
          </cell>
          <cell r="C302">
            <v>46141</v>
          </cell>
        </row>
        <row r="303">
          <cell r="A303" t="str">
            <v>JXG63462</v>
          </cell>
          <cell r="B303" t="str">
            <v>秋302-JXG63462</v>
          </cell>
          <cell r="C303">
            <v>46141</v>
          </cell>
        </row>
        <row r="304">
          <cell r="A304" t="str">
            <v>JHB63868</v>
          </cell>
          <cell r="B304" t="str">
            <v>秋303-JHB63868</v>
          </cell>
          <cell r="C304">
            <v>46141</v>
          </cell>
        </row>
        <row r="305">
          <cell r="A305" t="str">
            <v>JJB63873</v>
          </cell>
          <cell r="B305" t="str">
            <v>秋304-JJB63873</v>
          </cell>
          <cell r="C305">
            <v>46141</v>
          </cell>
        </row>
        <row r="306">
          <cell r="A306" t="str">
            <v>JJG63861</v>
          </cell>
          <cell r="B306" t="str">
            <v>秋306-JJG63861</v>
          </cell>
          <cell r="C306">
            <v>46141</v>
          </cell>
        </row>
        <row r="307">
          <cell r="A307" t="str">
            <v>JTB63869</v>
          </cell>
          <cell r="B307" t="str">
            <v>秋317-JTB63869</v>
          </cell>
          <cell r="C307">
            <v>46141</v>
          </cell>
        </row>
        <row r="308">
          <cell r="A308" t="str">
            <v>JXB63864</v>
          </cell>
          <cell r="B308" t="str">
            <v>秋323-JXB63864</v>
          </cell>
          <cell r="C308">
            <v>46141</v>
          </cell>
        </row>
        <row r="309">
          <cell r="A309" t="str">
            <v>JXG63859</v>
          </cell>
          <cell r="B309" t="str">
            <v>秋324-JXG63859</v>
          </cell>
          <cell r="C309">
            <v>46141</v>
          </cell>
        </row>
        <row r="310">
          <cell r="A310" t="str">
            <v>JTG63853</v>
          </cell>
          <cell r="B310" t="str">
            <v>秋231-JTG63853</v>
          </cell>
          <cell r="C310">
            <v>46141</v>
          </cell>
        </row>
        <row r="311">
          <cell r="A311" t="str">
            <v>JXG63852</v>
          </cell>
          <cell r="B311" t="str">
            <v>秋233-JXG63852</v>
          </cell>
          <cell r="C311">
            <v>46141</v>
          </cell>
        </row>
        <row r="312">
          <cell r="A312" t="str">
            <v>JJB63064</v>
          </cell>
          <cell r="B312" t="str">
            <v>秋255-JJB63064</v>
          </cell>
          <cell r="C312">
            <v>46142</v>
          </cell>
        </row>
        <row r="313">
          <cell r="A313" t="str">
            <v>JJG63055</v>
          </cell>
          <cell r="B313" t="str">
            <v>秋259-JJG63055</v>
          </cell>
          <cell r="C313">
            <v>46142</v>
          </cell>
        </row>
        <row r="314">
          <cell r="A314" t="str">
            <v>JTG63061</v>
          </cell>
          <cell r="B314" t="str">
            <v>秋265-JTG63061</v>
          </cell>
          <cell r="C314">
            <v>46142</v>
          </cell>
        </row>
        <row r="315">
          <cell r="A315" t="str">
            <v>JJG63694</v>
          </cell>
          <cell r="B315" t="str">
            <v>秋271-JJG63694</v>
          </cell>
          <cell r="C315">
            <v>46142</v>
          </cell>
        </row>
        <row r="316">
          <cell r="A316" t="str">
            <v>JKG63458</v>
          </cell>
          <cell r="B316" t="str">
            <v>秋290-JKG63458</v>
          </cell>
          <cell r="C316">
            <v>46142</v>
          </cell>
        </row>
        <row r="317">
          <cell r="A317" t="str">
            <v>JKG63466</v>
          </cell>
          <cell r="B317" t="str">
            <v>秋291-JKG63466</v>
          </cell>
          <cell r="C317">
            <v>46142</v>
          </cell>
        </row>
        <row r="318">
          <cell r="A318" t="str">
            <v>JTG63460</v>
          </cell>
          <cell r="B318" t="str">
            <v>秋297-JTG63460</v>
          </cell>
          <cell r="C318">
            <v>46142</v>
          </cell>
        </row>
        <row r="319">
          <cell r="A319" t="str">
            <v>JJG63857</v>
          </cell>
          <cell r="B319" t="str">
            <v>秋305-JJG63857</v>
          </cell>
          <cell r="C319">
            <v>46142</v>
          </cell>
        </row>
        <row r="320">
          <cell r="A320" t="str">
            <v>JJG63862</v>
          </cell>
          <cell r="B320" t="str">
            <v>秋307-JJG63862</v>
          </cell>
          <cell r="C320">
            <v>46142</v>
          </cell>
        </row>
        <row r="321">
          <cell r="A321" t="str">
            <v>JJG63871</v>
          </cell>
          <cell r="B321" t="str">
            <v>秋309-JJG63871</v>
          </cell>
          <cell r="C321">
            <v>46142</v>
          </cell>
        </row>
        <row r="322">
          <cell r="A322" t="str">
            <v>JJG63874</v>
          </cell>
          <cell r="B322" t="str">
            <v>秋310-JJG63874</v>
          </cell>
          <cell r="C322">
            <v>46142</v>
          </cell>
        </row>
        <row r="323">
          <cell r="A323" t="str">
            <v>JJG63876</v>
          </cell>
          <cell r="B323" t="str">
            <v>秋311-JJG63876</v>
          </cell>
          <cell r="C323">
            <v>46142</v>
          </cell>
        </row>
        <row r="324">
          <cell r="A324" t="str">
            <v>JTG63856</v>
          </cell>
          <cell r="B324" t="str">
            <v>秋318-JTG63856</v>
          </cell>
          <cell r="C324">
            <v>46142</v>
          </cell>
        </row>
        <row r="325">
          <cell r="A325" t="str">
            <v>JTG63858</v>
          </cell>
          <cell r="B325" t="str">
            <v>秋320-JTG63858</v>
          </cell>
          <cell r="C325">
            <v>46142</v>
          </cell>
        </row>
        <row r="326">
          <cell r="A326" t="str">
            <v>JTG63860</v>
          </cell>
          <cell r="B326" t="str">
            <v>秋321-JTG63860</v>
          </cell>
          <cell r="C326">
            <v>46142</v>
          </cell>
        </row>
        <row r="327">
          <cell r="A327" t="str">
            <v>JJG63062</v>
          </cell>
          <cell r="B327" t="str">
            <v>秋327-JJG63062</v>
          </cell>
          <cell r="C327">
            <v>46142</v>
          </cell>
        </row>
        <row r="328">
          <cell r="A328" t="str">
            <v>JMG63827</v>
          </cell>
          <cell r="B328" t="str">
            <v>秋148-JMG63827</v>
          </cell>
          <cell r="C328">
            <v>46142</v>
          </cell>
        </row>
        <row r="329">
          <cell r="A329" t="str">
            <v>JMG63045</v>
          </cell>
          <cell r="B329" t="str">
            <v>秋209-JMG63045</v>
          </cell>
          <cell r="C329">
            <v>46142</v>
          </cell>
        </row>
        <row r="330">
          <cell r="A330" t="str">
            <v>JTG63834</v>
          </cell>
          <cell r="B330" t="str">
            <v>秋228-JTG63834</v>
          </cell>
          <cell r="C330">
            <v>46142</v>
          </cell>
        </row>
        <row r="331">
          <cell r="A331" t="str">
            <v>JLG63693</v>
          </cell>
          <cell r="B331" t="str">
            <v>秋277-JLG63693</v>
          </cell>
          <cell r="C331">
            <v>46146</v>
          </cell>
        </row>
        <row r="332">
          <cell r="A332" t="str">
            <v>JKG63478</v>
          </cell>
          <cell r="B332" t="str">
            <v>秋330-JKG63478</v>
          </cell>
          <cell r="C332">
            <v>46146</v>
          </cell>
        </row>
        <row r="333">
          <cell r="A333" t="str">
            <v>JMG63523</v>
          </cell>
          <cell r="B333" t="str">
            <v>秋333-JMG63523</v>
          </cell>
          <cell r="C333">
            <v>46146</v>
          </cell>
        </row>
        <row r="334">
          <cell r="A334" t="str">
            <v>JRG63475</v>
          </cell>
          <cell r="B334" t="str">
            <v>秋335-JRG63475</v>
          </cell>
          <cell r="C334">
            <v>46146</v>
          </cell>
        </row>
        <row r="335">
          <cell r="A335" t="str">
            <v>JXG63473</v>
          </cell>
          <cell r="B335" t="str">
            <v>秋346-JXG63473</v>
          </cell>
          <cell r="C335">
            <v>46146</v>
          </cell>
        </row>
        <row r="336">
          <cell r="A336" t="str">
            <v>JXG63485</v>
          </cell>
          <cell r="B336" t="str">
            <v>秋348-JXG63485</v>
          </cell>
          <cell r="C336">
            <v>46146</v>
          </cell>
        </row>
        <row r="337">
          <cell r="A337" t="str">
            <v>JZG63471</v>
          </cell>
          <cell r="B337" t="str">
            <v>秋349-JZG63471</v>
          </cell>
          <cell r="C337">
            <v>46146</v>
          </cell>
        </row>
        <row r="338">
          <cell r="A338" t="str">
            <v>JDG63069</v>
          </cell>
          <cell r="B338" t="str">
            <v>秋364-JDG63069</v>
          </cell>
          <cell r="C338">
            <v>46146</v>
          </cell>
        </row>
        <row r="339">
          <cell r="A339" t="str">
            <v>JXB63072</v>
          </cell>
          <cell r="B339" t="str">
            <v>秋375-JXB63072</v>
          </cell>
          <cell r="C339">
            <v>46146</v>
          </cell>
        </row>
        <row r="340">
          <cell r="A340" t="str">
            <v>JXG63079</v>
          </cell>
          <cell r="B340" t="str">
            <v>秋378-JXG63079</v>
          </cell>
          <cell r="C340">
            <v>46146</v>
          </cell>
        </row>
        <row r="341">
          <cell r="A341" t="str">
            <v>JXN63081</v>
          </cell>
          <cell r="B341" t="str">
            <v>秋379-JXN63081</v>
          </cell>
          <cell r="C341">
            <v>46146</v>
          </cell>
        </row>
        <row r="342">
          <cell r="A342" t="str">
            <v>JMG65006</v>
          </cell>
          <cell r="B342" t="str">
            <v>深秋15-JMG65006</v>
          </cell>
          <cell r="C342">
            <v>46146</v>
          </cell>
        </row>
        <row r="343">
          <cell r="A343" t="str">
            <v>JRN65503</v>
          </cell>
          <cell r="B343" t="str">
            <v>深秋19-JRN65503</v>
          </cell>
          <cell r="C343">
            <v>46146</v>
          </cell>
        </row>
        <row r="344">
          <cell r="A344" t="str">
            <v>JJG63671</v>
          </cell>
          <cell r="B344" t="str">
            <v>秋245-JJG63671</v>
          </cell>
          <cell r="C344">
            <v>46146</v>
          </cell>
        </row>
        <row r="345">
          <cell r="A345" t="str">
            <v>JDG63058</v>
          </cell>
          <cell r="B345" t="str">
            <v>秋253-JDG63058</v>
          </cell>
          <cell r="C345">
            <v>46147</v>
          </cell>
        </row>
        <row r="346">
          <cell r="A346" t="str">
            <v>JJG63054</v>
          </cell>
          <cell r="B346" t="str">
            <v>秋258-JJG63054</v>
          </cell>
          <cell r="C346">
            <v>46147</v>
          </cell>
        </row>
        <row r="347">
          <cell r="A347" t="str">
            <v>JJG63863</v>
          </cell>
          <cell r="B347" t="str">
            <v>秋308-JJG63863</v>
          </cell>
          <cell r="C347">
            <v>46147</v>
          </cell>
        </row>
        <row r="348">
          <cell r="A348" t="str">
            <v>JAB64001</v>
          </cell>
          <cell r="B348" t="str">
            <v>冬26-JAB64001</v>
          </cell>
          <cell r="C348">
            <v>46147</v>
          </cell>
        </row>
        <row r="349">
          <cell r="A349" t="str">
            <v>JNG63556</v>
          </cell>
          <cell r="B349" t="str">
            <v>秋118-JNG63556</v>
          </cell>
          <cell r="C349">
            <v>46148</v>
          </cell>
        </row>
        <row r="350">
          <cell r="A350" t="str">
            <v>JMG63022</v>
          </cell>
          <cell r="B350" t="str">
            <v>秋137-JMG63022</v>
          </cell>
          <cell r="C350">
            <v>46148</v>
          </cell>
        </row>
        <row r="351">
          <cell r="A351" t="str">
            <v>JMG63023</v>
          </cell>
          <cell r="B351" t="str">
            <v>秋138-JMG63023</v>
          </cell>
          <cell r="C351">
            <v>46148</v>
          </cell>
        </row>
        <row r="352">
          <cell r="A352" t="str">
            <v>JJG63051</v>
          </cell>
          <cell r="B352" t="str">
            <v>秋256-JJG63051</v>
          </cell>
          <cell r="C352">
            <v>46148</v>
          </cell>
        </row>
        <row r="353">
          <cell r="A353" t="str">
            <v>JKG63065</v>
          </cell>
          <cell r="B353" t="str">
            <v>秋264-JKG63065</v>
          </cell>
          <cell r="C353">
            <v>46148</v>
          </cell>
        </row>
        <row r="354">
          <cell r="A354" t="str">
            <v>JJG63686</v>
          </cell>
          <cell r="B354" t="str">
            <v>秋270-JJG63686</v>
          </cell>
          <cell r="C354">
            <v>46148</v>
          </cell>
        </row>
        <row r="355">
          <cell r="A355" t="str">
            <v>JXG63354</v>
          </cell>
          <cell r="B355" t="str">
            <v>秋363-JXG63354</v>
          </cell>
          <cell r="C355">
            <v>46148</v>
          </cell>
        </row>
        <row r="356">
          <cell r="A356" t="str">
            <v>JJG63885</v>
          </cell>
          <cell r="B356" t="str">
            <v>秋386-JJG63885</v>
          </cell>
          <cell r="C356">
            <v>46148</v>
          </cell>
        </row>
        <row r="357">
          <cell r="A357" t="str">
            <v>JGG63687</v>
          </cell>
          <cell r="B357" t="str">
            <v>秋269-JGG63687</v>
          </cell>
          <cell r="C357">
            <v>46149</v>
          </cell>
        </row>
        <row r="358">
          <cell r="A358" t="str">
            <v>JKG63477</v>
          </cell>
          <cell r="B358" t="str">
            <v>秋329-JKG63477</v>
          </cell>
          <cell r="C358">
            <v>46149</v>
          </cell>
        </row>
        <row r="359">
          <cell r="A359" t="str">
            <v>JTG63483</v>
          </cell>
          <cell r="B359" t="str">
            <v>秋342-JTG63483</v>
          </cell>
          <cell r="C359">
            <v>46149</v>
          </cell>
        </row>
        <row r="360">
          <cell r="A360" t="str">
            <v>JXG63470</v>
          </cell>
          <cell r="B360" t="str">
            <v>秋345-JXG63470</v>
          </cell>
          <cell r="C360">
            <v>46149</v>
          </cell>
        </row>
        <row r="361">
          <cell r="A361" t="str">
            <v>JXG63474</v>
          </cell>
          <cell r="B361" t="str">
            <v>秋347-JXG63474</v>
          </cell>
          <cell r="C361">
            <v>46149</v>
          </cell>
        </row>
        <row r="362">
          <cell r="A362" t="str">
            <v>JRG63355</v>
          </cell>
          <cell r="B362" t="str">
            <v>秋360-JRG63355</v>
          </cell>
          <cell r="C362">
            <v>46149</v>
          </cell>
        </row>
        <row r="363">
          <cell r="A363" t="str">
            <v>JXG63066</v>
          </cell>
          <cell r="B363" t="str">
            <v>秋376-JXG63066</v>
          </cell>
          <cell r="C363">
            <v>46149</v>
          </cell>
        </row>
        <row r="364">
          <cell r="A364" t="str">
            <v>JHG63889</v>
          </cell>
          <cell r="B364" t="str">
            <v>秋383-JHG63889</v>
          </cell>
          <cell r="C364">
            <v>46149</v>
          </cell>
        </row>
        <row r="365">
          <cell r="A365" t="str">
            <v>JKG63879</v>
          </cell>
          <cell r="B365" t="str">
            <v>秋391-JKG63879</v>
          </cell>
          <cell r="C365">
            <v>46149</v>
          </cell>
        </row>
        <row r="366">
          <cell r="A366" t="str">
            <v>JXG63886</v>
          </cell>
          <cell r="B366" t="str">
            <v>秋397-JXG63886</v>
          </cell>
          <cell r="C366">
            <v>46149</v>
          </cell>
        </row>
        <row r="367">
          <cell r="A367" t="str">
            <v>JKB65810</v>
          </cell>
          <cell r="B367" t="str">
            <v>深秋17-JKB65810</v>
          </cell>
          <cell r="C367">
            <v>46149</v>
          </cell>
        </row>
        <row r="368">
          <cell r="A368" t="str">
            <v>JDG63041</v>
          </cell>
          <cell r="B368" t="str">
            <v>秋202-JDG63041</v>
          </cell>
          <cell r="C368">
            <v>46149</v>
          </cell>
        </row>
        <row r="369">
          <cell r="A369" t="str">
            <v>JTG63678</v>
          </cell>
          <cell r="B369" t="str">
            <v>秋278-JTG63678</v>
          </cell>
          <cell r="C369">
            <v>46150</v>
          </cell>
        </row>
        <row r="370">
          <cell r="A370" t="str">
            <v>JLG63855</v>
          </cell>
          <cell r="B370" t="str">
            <v>秋312-JLG63855</v>
          </cell>
          <cell r="C370">
            <v>46150</v>
          </cell>
        </row>
        <row r="371">
          <cell r="A371" t="str">
            <v>JRG63476</v>
          </cell>
          <cell r="B371" t="str">
            <v>秋336-JRG63476</v>
          </cell>
          <cell r="C371">
            <v>46150</v>
          </cell>
        </row>
        <row r="372">
          <cell r="A372" t="str">
            <v>JKB63352</v>
          </cell>
          <cell r="B372" t="str">
            <v>秋352-JKB63352</v>
          </cell>
          <cell r="C372">
            <v>46150</v>
          </cell>
        </row>
        <row r="373">
          <cell r="A373" t="str">
            <v>JKG63351</v>
          </cell>
          <cell r="B373" t="str">
            <v>秋354-JKG63351</v>
          </cell>
          <cell r="C373">
            <v>46150</v>
          </cell>
        </row>
        <row r="374">
          <cell r="A374" t="str">
            <v>JLG63695</v>
          </cell>
          <cell r="B374" t="str">
            <v>秋356-JLG63695</v>
          </cell>
          <cell r="C374">
            <v>46150</v>
          </cell>
        </row>
        <row r="375">
          <cell r="A375" t="str">
            <v>JLG63697</v>
          </cell>
          <cell r="B375" t="str">
            <v>秋358-JLG63697</v>
          </cell>
          <cell r="C375">
            <v>46150</v>
          </cell>
        </row>
        <row r="376">
          <cell r="A376" t="str">
            <v>JLG63698</v>
          </cell>
          <cell r="B376" t="str">
            <v>秋359-JLG63698</v>
          </cell>
          <cell r="C376">
            <v>46150</v>
          </cell>
        </row>
        <row r="377">
          <cell r="A377" t="str">
            <v>JRG63067</v>
          </cell>
          <cell r="B377" t="str">
            <v>秋373-JRG63067</v>
          </cell>
          <cell r="C377">
            <v>46150</v>
          </cell>
        </row>
        <row r="378">
          <cell r="A378" t="str">
            <v>JRG63078</v>
          </cell>
          <cell r="B378" t="str">
            <v>秋374-JRG63078</v>
          </cell>
          <cell r="C378">
            <v>46150</v>
          </cell>
        </row>
        <row r="379">
          <cell r="A379" t="str">
            <v>JCG63892</v>
          </cell>
          <cell r="B379" t="str">
            <v>秋380-JCG63892</v>
          </cell>
          <cell r="C379">
            <v>46150</v>
          </cell>
        </row>
        <row r="380">
          <cell r="A380" t="str">
            <v>JTG63884</v>
          </cell>
          <cell r="B380" t="str">
            <v>秋395-JTG63884</v>
          </cell>
          <cell r="C380">
            <v>46150</v>
          </cell>
        </row>
        <row r="381">
          <cell r="A381" t="str">
            <v>JTG63669</v>
          </cell>
          <cell r="B381" t="str">
            <v>秋248-JTG63669</v>
          </cell>
          <cell r="C381">
            <v>46150</v>
          </cell>
        </row>
        <row r="382">
          <cell r="A382" t="str">
            <v>JJN63056</v>
          </cell>
          <cell r="B382" t="str">
            <v>秋261-JJN63056</v>
          </cell>
          <cell r="C382">
            <v>46150</v>
          </cell>
        </row>
        <row r="383">
          <cell r="A383" t="str">
            <v>JKN63479</v>
          </cell>
          <cell r="B383" t="str">
            <v>秋331-JKN63479</v>
          </cell>
          <cell r="C383">
            <v>46151</v>
          </cell>
        </row>
        <row r="384">
          <cell r="A384" t="str">
            <v>JKN63484</v>
          </cell>
          <cell r="B384" t="str">
            <v>秋332-JKN63484</v>
          </cell>
          <cell r="C384">
            <v>46151</v>
          </cell>
        </row>
        <row r="385">
          <cell r="A385" t="str">
            <v>JTB63480</v>
          </cell>
          <cell r="B385" t="str">
            <v>秋337-JTB63480</v>
          </cell>
          <cell r="C385">
            <v>46151</v>
          </cell>
        </row>
        <row r="386">
          <cell r="A386" t="str">
            <v>JTG63482</v>
          </cell>
          <cell r="B386" t="str">
            <v>秋341-JTG63482</v>
          </cell>
          <cell r="C386">
            <v>46151</v>
          </cell>
        </row>
        <row r="387">
          <cell r="A387" t="str">
            <v>JKG63350</v>
          </cell>
          <cell r="B387" t="str">
            <v>秋353-JKG63350</v>
          </cell>
          <cell r="C387">
            <v>46151</v>
          </cell>
        </row>
        <row r="388">
          <cell r="A388" t="str">
            <v>JLB63699</v>
          </cell>
          <cell r="B388" t="str">
            <v>秋355-JLB63699</v>
          </cell>
          <cell r="C388">
            <v>46151</v>
          </cell>
        </row>
        <row r="389">
          <cell r="A389" t="str">
            <v>JXG63353</v>
          </cell>
          <cell r="B389" t="str">
            <v>秋362-JXG63353</v>
          </cell>
          <cell r="C389">
            <v>46151</v>
          </cell>
        </row>
        <row r="390">
          <cell r="A390" t="str">
            <v>JJB63070</v>
          </cell>
          <cell r="B390" t="str">
            <v>秋367-JJB63070</v>
          </cell>
          <cell r="C390">
            <v>46151</v>
          </cell>
        </row>
        <row r="391">
          <cell r="A391" t="str">
            <v>JXG63077</v>
          </cell>
          <cell r="B391" t="str">
            <v>秋377-JXG63077</v>
          </cell>
          <cell r="C391">
            <v>46151</v>
          </cell>
        </row>
        <row r="392">
          <cell r="A392" t="str">
            <v>JKG63890</v>
          </cell>
          <cell r="B392" t="str">
            <v>秋393-JKG63890</v>
          </cell>
          <cell r="C392">
            <v>46151</v>
          </cell>
        </row>
        <row r="393">
          <cell r="A393" t="str">
            <v>JTG63883</v>
          </cell>
          <cell r="B393" t="str">
            <v>秋394-JTG63883</v>
          </cell>
          <cell r="C393">
            <v>46151</v>
          </cell>
        </row>
        <row r="394">
          <cell r="A394" t="str">
            <v>JTG63891</v>
          </cell>
          <cell r="B394" t="str">
            <v>秋396-JTG63891</v>
          </cell>
          <cell r="C394">
            <v>46151</v>
          </cell>
        </row>
        <row r="395">
          <cell r="A395" t="str">
            <v>JJN63844</v>
          </cell>
          <cell r="B395" t="str">
            <v>秋219-JJN63844</v>
          </cell>
          <cell r="C395">
            <v>46151</v>
          </cell>
        </row>
        <row r="396">
          <cell r="A396" t="str">
            <v>JMB65811</v>
          </cell>
          <cell r="B396" t="str">
            <v>秋314-JMB65811</v>
          </cell>
          <cell r="C396">
            <v>46151</v>
          </cell>
        </row>
        <row r="397">
          <cell r="A397" t="str">
            <v>JLG63696</v>
          </cell>
          <cell r="B397" t="str">
            <v>秋357-JLG63696</v>
          </cell>
          <cell r="C397">
            <v>46152</v>
          </cell>
        </row>
        <row r="398">
          <cell r="A398" t="str">
            <v>JLG63068</v>
          </cell>
          <cell r="B398" t="str">
            <v>秋370-JLG63068</v>
          </cell>
          <cell r="C398">
            <v>46152</v>
          </cell>
        </row>
        <row r="399">
          <cell r="A399" t="str">
            <v>JTG63481</v>
          </cell>
          <cell r="B399" t="str">
            <v>秋340-JTG63481</v>
          </cell>
          <cell r="C399">
            <v>46152</v>
          </cell>
        </row>
        <row r="400">
          <cell r="A400" t="str">
            <v>JTG63597</v>
          </cell>
          <cell r="B400" t="str">
            <v>秋343-JTG63597</v>
          </cell>
          <cell r="C400">
            <v>46152</v>
          </cell>
        </row>
        <row r="401">
          <cell r="A401" t="str">
            <v>JZG63472</v>
          </cell>
          <cell r="B401" t="str">
            <v>秋350-JZG63472</v>
          </cell>
          <cell r="C401">
            <v>46152</v>
          </cell>
        </row>
        <row r="402">
          <cell r="A402" t="str">
            <v>JJB63358</v>
          </cell>
          <cell r="B402" t="str">
            <v>秋351-JJB63358</v>
          </cell>
          <cell r="C402">
            <v>46152</v>
          </cell>
        </row>
        <row r="403">
          <cell r="A403" t="str">
            <v>JTG63598</v>
          </cell>
          <cell r="B403" t="str">
            <v>秋344-JTG63598</v>
          </cell>
          <cell r="C403">
            <v>46153</v>
          </cell>
        </row>
        <row r="404">
          <cell r="A404" t="str">
            <v>JTB63356</v>
          </cell>
          <cell r="B404" t="str">
            <v>秋361-JTB63356</v>
          </cell>
          <cell r="C404">
            <v>46153</v>
          </cell>
        </row>
        <row r="405">
          <cell r="A405" t="str">
            <v>JJB63071</v>
          </cell>
          <cell r="B405" t="str">
            <v>秋368-JJB63071</v>
          </cell>
          <cell r="C405">
            <v>46153</v>
          </cell>
        </row>
        <row r="406">
          <cell r="A406" t="str">
            <v>JQG63073</v>
          </cell>
          <cell r="B406" t="str">
            <v>秋371-JQG63073</v>
          </cell>
          <cell r="C406">
            <v>46153</v>
          </cell>
        </row>
        <row r="407">
          <cell r="A407" t="str">
            <v>JKN63494</v>
          </cell>
          <cell r="B407" t="str">
            <v>秋400-JKN63494</v>
          </cell>
          <cell r="C407">
            <v>46153</v>
          </cell>
        </row>
        <row r="408">
          <cell r="A408" t="str">
            <v>JRB63496</v>
          </cell>
          <cell r="B408" t="str">
            <v>秋405-JRB63496</v>
          </cell>
          <cell r="C408">
            <v>46153</v>
          </cell>
        </row>
        <row r="409">
          <cell r="A409" t="str">
            <v>JTG63403</v>
          </cell>
          <cell r="B409" t="str">
            <v>秋408-JTG63403</v>
          </cell>
          <cell r="C409">
            <v>46153</v>
          </cell>
        </row>
        <row r="410">
          <cell r="A410" t="str">
            <v>JTG63486</v>
          </cell>
          <cell r="B410" t="str">
            <v>秋410-JTG63486</v>
          </cell>
          <cell r="C410">
            <v>46153</v>
          </cell>
        </row>
        <row r="411">
          <cell r="A411" t="str">
            <v>JXB63498</v>
          </cell>
          <cell r="B411" t="str">
            <v>秋413-JXB63498</v>
          </cell>
          <cell r="C411">
            <v>46153</v>
          </cell>
        </row>
        <row r="412">
          <cell r="A412" t="str">
            <v>JXG63499</v>
          </cell>
          <cell r="B412" t="str">
            <v>秋414-JXG63499</v>
          </cell>
          <cell r="C412">
            <v>46153</v>
          </cell>
        </row>
        <row r="413">
          <cell r="A413" t="str">
            <v>JJG65501</v>
          </cell>
          <cell r="B413" t="str">
            <v>深秋14-JJG65501</v>
          </cell>
          <cell r="C413">
            <v>46153</v>
          </cell>
        </row>
        <row r="414">
          <cell r="A414" t="str">
            <v>JNG65508</v>
          </cell>
          <cell r="B414" t="str">
            <v>深秋21-JNG65508</v>
          </cell>
          <cell r="C414">
            <v>46153</v>
          </cell>
        </row>
        <row r="415">
          <cell r="A415" t="str">
            <v>JNN65506</v>
          </cell>
          <cell r="B415" t="str">
            <v>深秋27-JNN65506</v>
          </cell>
          <cell r="C415">
            <v>46153</v>
          </cell>
        </row>
        <row r="416">
          <cell r="A416" t="str">
            <v>JDG63492</v>
          </cell>
          <cell r="B416" t="str">
            <v>秋257-JDG63492</v>
          </cell>
          <cell r="C416">
            <v>46153</v>
          </cell>
        </row>
        <row r="417">
          <cell r="A417" t="str">
            <v>JMB63865</v>
          </cell>
          <cell r="B417" t="str">
            <v>秋313-JMB63865</v>
          </cell>
          <cell r="C417">
            <v>46154</v>
          </cell>
        </row>
        <row r="418">
          <cell r="A418" t="str">
            <v>JKG63080</v>
          </cell>
          <cell r="B418" t="str">
            <v>秋369-JKG63080</v>
          </cell>
          <cell r="C418">
            <v>46154</v>
          </cell>
        </row>
        <row r="419">
          <cell r="A419" t="str">
            <v>JHN63491</v>
          </cell>
          <cell r="B419" t="str">
            <v>秋399-JHN63491</v>
          </cell>
          <cell r="C419">
            <v>46154</v>
          </cell>
        </row>
        <row r="420">
          <cell r="A420" t="str">
            <v>JRG63497</v>
          </cell>
          <cell r="B420" t="str">
            <v>秋406-JRG63497</v>
          </cell>
          <cell r="C420">
            <v>46154</v>
          </cell>
        </row>
        <row r="421">
          <cell r="A421" t="str">
            <v>JJG63362</v>
          </cell>
          <cell r="B421" t="str">
            <v>秋415-JJG63362</v>
          </cell>
          <cell r="C421">
            <v>46154</v>
          </cell>
        </row>
        <row r="422">
          <cell r="A422" t="str">
            <v>JJG63363</v>
          </cell>
          <cell r="B422" t="str">
            <v>秋416-JJG63363</v>
          </cell>
          <cell r="C422">
            <v>46154</v>
          </cell>
        </row>
        <row r="423">
          <cell r="A423" t="str">
            <v>JXB63360</v>
          </cell>
          <cell r="B423" t="str">
            <v>秋427-JXB63360</v>
          </cell>
          <cell r="C423">
            <v>46154</v>
          </cell>
        </row>
        <row r="424">
          <cell r="A424" t="str">
            <v>JTG65806</v>
          </cell>
          <cell r="B424" t="str">
            <v>深秋29-JTG65806</v>
          </cell>
          <cell r="C424">
            <v>46154</v>
          </cell>
        </row>
        <row r="425">
          <cell r="A425" t="str">
            <v>JAG64507</v>
          </cell>
          <cell r="B425" t="str">
            <v>冬27-JAG64507</v>
          </cell>
          <cell r="C425">
            <v>46154</v>
          </cell>
        </row>
        <row r="426">
          <cell r="A426" t="str">
            <v>JAN64002</v>
          </cell>
          <cell r="B426" t="str">
            <v>冬28-JAN64002</v>
          </cell>
          <cell r="C426">
            <v>46156</v>
          </cell>
        </row>
        <row r="427">
          <cell r="A427" t="str">
            <v>JGB63076</v>
          </cell>
          <cell r="B427" t="str">
            <v>秋365-JGB63076</v>
          </cell>
          <cell r="C427">
            <v>46156</v>
          </cell>
        </row>
        <row r="428">
          <cell r="A428" t="str">
            <v>JDG63878</v>
          </cell>
          <cell r="B428" t="str">
            <v>秋381-JDG63878</v>
          </cell>
          <cell r="C428">
            <v>46156</v>
          </cell>
        </row>
        <row r="429">
          <cell r="A429" t="str">
            <v>JJG63877</v>
          </cell>
          <cell r="B429" t="str">
            <v>秋384-JJG63877</v>
          </cell>
          <cell r="C429">
            <v>46156</v>
          </cell>
        </row>
        <row r="430">
          <cell r="A430" t="str">
            <v>JTG63404</v>
          </cell>
          <cell r="B430" t="str">
            <v>秋409-JTG63404</v>
          </cell>
          <cell r="C430">
            <v>46156</v>
          </cell>
        </row>
        <row r="431">
          <cell r="A431" t="str">
            <v>JKB63372</v>
          </cell>
          <cell r="B431" t="str">
            <v>秋418-JKB63372</v>
          </cell>
          <cell r="C431">
            <v>46156</v>
          </cell>
        </row>
        <row r="432">
          <cell r="A432" t="str">
            <v>JTB63357</v>
          </cell>
          <cell r="B432" t="str">
            <v>秋422-JTB63357</v>
          </cell>
          <cell r="C432">
            <v>46156</v>
          </cell>
        </row>
        <row r="433">
          <cell r="A433" t="str">
            <v>JTB63369</v>
          </cell>
          <cell r="B433" t="str">
            <v>秋423-JTB63369</v>
          </cell>
          <cell r="C433">
            <v>46156</v>
          </cell>
        </row>
        <row r="434">
          <cell r="A434" t="str">
            <v>JXG63361</v>
          </cell>
          <cell r="B434" t="str">
            <v>秋428-JXG63361</v>
          </cell>
          <cell r="C434">
            <v>46156</v>
          </cell>
        </row>
        <row r="435">
          <cell r="A435" t="str">
            <v>JXG63896</v>
          </cell>
          <cell r="B435" t="str">
            <v>秋461-JXG63896</v>
          </cell>
          <cell r="C435">
            <v>46156</v>
          </cell>
        </row>
        <row r="436">
          <cell r="A436" t="str">
            <v>JXG63912</v>
          </cell>
          <cell r="B436" t="str">
            <v>秋463-JXG63912</v>
          </cell>
          <cell r="C436">
            <v>46156</v>
          </cell>
        </row>
        <row r="437">
          <cell r="A437" t="str">
            <v>JDG65007</v>
          </cell>
          <cell r="B437" t="str">
            <v>深秋10-JDG65007</v>
          </cell>
          <cell r="C437">
            <v>46156</v>
          </cell>
        </row>
        <row r="438">
          <cell r="A438" t="str">
            <v>JKN65504</v>
          </cell>
          <cell r="B438" t="str">
            <v>深秋18-JKN65504</v>
          </cell>
          <cell r="C438">
            <v>46156</v>
          </cell>
        </row>
        <row r="439">
          <cell r="A439" t="str">
            <v>JJG65601</v>
          </cell>
          <cell r="B439" t="str">
            <v>深秋25-JJG65601</v>
          </cell>
          <cell r="C439">
            <v>46156</v>
          </cell>
        </row>
        <row r="440">
          <cell r="A440" t="str">
            <v>JRB63495</v>
          </cell>
          <cell r="B440" t="str">
            <v>秋404-JRB63495</v>
          </cell>
          <cell r="C440">
            <v>46157</v>
          </cell>
        </row>
        <row r="441">
          <cell r="A441" t="str">
            <v>JTG63487</v>
          </cell>
          <cell r="B441" t="str">
            <v>秋411-JTG63487</v>
          </cell>
          <cell r="C441">
            <v>46157</v>
          </cell>
        </row>
        <row r="442">
          <cell r="A442" t="str">
            <v>JTN63488</v>
          </cell>
          <cell r="B442" t="str">
            <v>秋412-JTN63488</v>
          </cell>
          <cell r="C442">
            <v>46157</v>
          </cell>
        </row>
        <row r="443">
          <cell r="A443" t="str">
            <v>JKG63371</v>
          </cell>
          <cell r="B443" t="str">
            <v>秋419-JKG63371</v>
          </cell>
          <cell r="C443">
            <v>46157</v>
          </cell>
        </row>
        <row r="444">
          <cell r="A444" t="str">
            <v>JTG63368</v>
          </cell>
          <cell r="B444" t="str">
            <v>秋426-JTG63368</v>
          </cell>
          <cell r="C444">
            <v>46157</v>
          </cell>
        </row>
        <row r="445">
          <cell r="A445" t="str">
            <v>JXG63097</v>
          </cell>
          <cell r="B445" t="str">
            <v>秋447-JXG63097</v>
          </cell>
          <cell r="C445">
            <v>46157</v>
          </cell>
        </row>
        <row r="446">
          <cell r="A446" t="str">
            <v>JDG63493</v>
          </cell>
          <cell r="B446" t="str">
            <v>秋398-JDG63493</v>
          </cell>
          <cell r="C446">
            <v>46157</v>
          </cell>
        </row>
        <row r="447">
          <cell r="A447" t="str">
            <v>JJN63882B</v>
          </cell>
          <cell r="B447" t="str">
            <v>秋390-JJN63882B</v>
          </cell>
          <cell r="C447">
            <v>46158</v>
          </cell>
        </row>
        <row r="448">
          <cell r="A448" t="str">
            <v>JJN63364</v>
          </cell>
          <cell r="B448" t="str">
            <v>秋417-JJN63364</v>
          </cell>
          <cell r="C448">
            <v>46158</v>
          </cell>
        </row>
        <row r="449">
          <cell r="A449" t="str">
            <v>JDG63384</v>
          </cell>
          <cell r="B449" t="str">
            <v>秋494-JDG63384</v>
          </cell>
          <cell r="C449">
            <v>46158</v>
          </cell>
        </row>
        <row r="450">
          <cell r="A450" t="str">
            <v>JGG63377</v>
          </cell>
          <cell r="B450" t="str">
            <v>秋497-JGG63377</v>
          </cell>
          <cell r="C450">
            <v>46158</v>
          </cell>
        </row>
        <row r="451">
          <cell r="A451" t="str">
            <v>JLG63379</v>
          </cell>
          <cell r="B451" t="str">
            <v>秋499-JLG63379</v>
          </cell>
          <cell r="C451">
            <v>46158</v>
          </cell>
        </row>
        <row r="452">
          <cell r="A452" t="str">
            <v>JMG63854</v>
          </cell>
          <cell r="B452" t="str">
            <v>秋315-JMG63854</v>
          </cell>
          <cell r="C452">
            <v>46158</v>
          </cell>
        </row>
        <row r="453">
          <cell r="A453" t="str">
            <v>JJN63882A</v>
          </cell>
          <cell r="B453" t="str">
            <v>秋390-JJN63882A</v>
          </cell>
          <cell r="C453">
            <v>46158</v>
          </cell>
        </row>
        <row r="454">
          <cell r="A454" t="str">
            <v>JXB63410</v>
          </cell>
          <cell r="B454" t="str">
            <v>秋480-JXB63410</v>
          </cell>
          <cell r="C454">
            <v>46159</v>
          </cell>
        </row>
        <row r="455">
          <cell r="A455" t="str">
            <v>JXB63109</v>
          </cell>
          <cell r="B455" t="str">
            <v>秋490-JXB63109</v>
          </cell>
          <cell r="C455">
            <v>46159</v>
          </cell>
        </row>
        <row r="456">
          <cell r="A456" t="str">
            <v>JDG63383</v>
          </cell>
          <cell r="B456" t="str">
            <v>秋493-JDG63383</v>
          </cell>
          <cell r="C456">
            <v>46159</v>
          </cell>
        </row>
        <row r="457">
          <cell r="A457" t="str">
            <v>JGG63376</v>
          </cell>
          <cell r="B457" t="str">
            <v>秋496-JGG63376</v>
          </cell>
          <cell r="C457">
            <v>46159</v>
          </cell>
        </row>
        <row r="458">
          <cell r="A458" t="str">
            <v>JJN63881</v>
          </cell>
          <cell r="B458" t="str">
            <v>秋389-JJN63881</v>
          </cell>
          <cell r="C458">
            <v>46159</v>
          </cell>
        </row>
        <row r="459">
          <cell r="A459" t="str">
            <v>JQG63366</v>
          </cell>
          <cell r="B459" t="str">
            <v>秋421-JQG63366</v>
          </cell>
          <cell r="C459">
            <v>46159</v>
          </cell>
        </row>
        <row r="460">
          <cell r="A460" t="str">
            <v>JTG63911</v>
          </cell>
          <cell r="B460" t="str">
            <v>秋459-JTG63911</v>
          </cell>
          <cell r="C460">
            <v>46159</v>
          </cell>
        </row>
        <row r="461">
          <cell r="A461" t="str">
            <v>JKG63887</v>
          </cell>
          <cell r="B461" t="str">
            <v>秋392-JKG63887</v>
          </cell>
          <cell r="C461">
            <v>46160</v>
          </cell>
        </row>
        <row r="462">
          <cell r="A462" t="str">
            <v>JTG63402</v>
          </cell>
          <cell r="B462" t="str">
            <v>秋407-JTG63402</v>
          </cell>
          <cell r="C462">
            <v>46160</v>
          </cell>
        </row>
        <row r="463">
          <cell r="A463" t="str">
            <v>JLB63373</v>
          </cell>
          <cell r="B463" t="str">
            <v>秋429-JLB63373</v>
          </cell>
          <cell r="C463">
            <v>46160</v>
          </cell>
        </row>
        <row r="464">
          <cell r="A464" t="str">
            <v>JHG63082</v>
          </cell>
          <cell r="B464" t="str">
            <v>秋436-JHG63082</v>
          </cell>
          <cell r="C464">
            <v>46160</v>
          </cell>
        </row>
        <row r="465">
          <cell r="A465" t="str">
            <v>JKG63083</v>
          </cell>
          <cell r="B465" t="str">
            <v>秋438-JKG63083</v>
          </cell>
          <cell r="C465">
            <v>46160</v>
          </cell>
        </row>
        <row r="466">
          <cell r="A466" t="str">
            <v>JDG63111</v>
          </cell>
          <cell r="B466" t="str">
            <v>秋481-JDG63111</v>
          </cell>
          <cell r="C466">
            <v>46160</v>
          </cell>
        </row>
        <row r="467">
          <cell r="A467" t="str">
            <v>JTB65509</v>
          </cell>
          <cell r="B467" t="str">
            <v>深秋23-JTB65509</v>
          </cell>
          <cell r="C467">
            <v>46160</v>
          </cell>
        </row>
        <row r="468">
          <cell r="A468" t="str">
            <v>JQG63074</v>
          </cell>
          <cell r="B468" t="str">
            <v>秋372-JQG63074</v>
          </cell>
          <cell r="C468">
            <v>46160</v>
          </cell>
        </row>
        <row r="469">
          <cell r="A469" t="str">
            <v>JHG63888</v>
          </cell>
          <cell r="B469" t="str">
            <v>秋382-JHG63888</v>
          </cell>
          <cell r="C469">
            <v>46160</v>
          </cell>
        </row>
        <row r="470">
          <cell r="A470" t="str">
            <v>JJG63880</v>
          </cell>
          <cell r="B470" t="str">
            <v>秋385-JJG63880</v>
          </cell>
          <cell r="C470">
            <v>46160</v>
          </cell>
        </row>
        <row r="471">
          <cell r="A471" t="str">
            <v>JQG63085</v>
          </cell>
          <cell r="B471" t="str">
            <v>秋443-JQG63085</v>
          </cell>
          <cell r="C471">
            <v>46161</v>
          </cell>
        </row>
        <row r="472">
          <cell r="A472" t="str">
            <v>JHB63408</v>
          </cell>
          <cell r="B472" t="str">
            <v>秋464-JHB63408</v>
          </cell>
          <cell r="C472">
            <v>46161</v>
          </cell>
        </row>
        <row r="473">
          <cell r="A473" t="str">
            <v>JDG63385</v>
          </cell>
          <cell r="B473" t="str">
            <v>秋495-JDG63385</v>
          </cell>
          <cell r="C473">
            <v>46161</v>
          </cell>
        </row>
        <row r="474">
          <cell r="A474" t="str">
            <v>JMG63522</v>
          </cell>
          <cell r="B474" t="str">
            <v>秋507-JMG63522</v>
          </cell>
          <cell r="C474">
            <v>46161</v>
          </cell>
        </row>
        <row r="475">
          <cell r="A475" t="str">
            <v>JRG63427</v>
          </cell>
          <cell r="B475" t="str">
            <v>秋508-JRG63427</v>
          </cell>
          <cell r="C475">
            <v>46161</v>
          </cell>
        </row>
        <row r="476">
          <cell r="A476" t="str">
            <v>JRG63428</v>
          </cell>
          <cell r="B476" t="str">
            <v>秋509-JRG63428</v>
          </cell>
          <cell r="C476">
            <v>46161</v>
          </cell>
        </row>
        <row r="477">
          <cell r="A477" t="str">
            <v>JRN63426</v>
          </cell>
          <cell r="B477" t="str">
            <v>秋511-JRN63426</v>
          </cell>
          <cell r="C477">
            <v>46161</v>
          </cell>
        </row>
        <row r="478">
          <cell r="A478" t="str">
            <v>JXG63429</v>
          </cell>
          <cell r="B478" t="str">
            <v>秋513-JXG63429</v>
          </cell>
          <cell r="C478">
            <v>46161</v>
          </cell>
        </row>
        <row r="479">
          <cell r="A479" t="str">
            <v>JGG63349</v>
          </cell>
          <cell r="B479" t="str">
            <v>秋514-JGG63349</v>
          </cell>
          <cell r="C479">
            <v>46161</v>
          </cell>
        </row>
        <row r="480">
          <cell r="A480" t="str">
            <v>JMG63689</v>
          </cell>
          <cell r="B480" t="str">
            <v>秋520-JMG63689</v>
          </cell>
          <cell r="C480">
            <v>46161</v>
          </cell>
        </row>
        <row r="481">
          <cell r="A481" t="str">
            <v>JJN65823</v>
          </cell>
          <cell r="B481" t="str">
            <v>深秋33-JJN65823</v>
          </cell>
          <cell r="C481">
            <v>46161</v>
          </cell>
        </row>
        <row r="482">
          <cell r="A482" t="str">
            <v>JJN65824A</v>
          </cell>
          <cell r="B482" t="str">
            <v>深秋34-JJN65824A</v>
          </cell>
          <cell r="C482">
            <v>46161</v>
          </cell>
        </row>
        <row r="483">
          <cell r="A483" t="str">
            <v>JJN65824B</v>
          </cell>
          <cell r="B483" t="str">
            <v>深秋35-JJN65824B</v>
          </cell>
          <cell r="C483">
            <v>46161</v>
          </cell>
        </row>
        <row r="484">
          <cell r="A484" t="str">
            <v>JGG63075</v>
          </cell>
          <cell r="B484" t="str">
            <v>秋366-JGG63075</v>
          </cell>
          <cell r="C484">
            <v>46161</v>
          </cell>
        </row>
        <row r="485">
          <cell r="A485" t="str">
            <v>JMG63596</v>
          </cell>
          <cell r="B485" t="str">
            <v>秋401-JMG63596</v>
          </cell>
          <cell r="C485">
            <v>46161</v>
          </cell>
        </row>
        <row r="486">
          <cell r="A486" t="str">
            <v>JQG63365</v>
          </cell>
          <cell r="B486" t="str">
            <v>秋420-JQG63365</v>
          </cell>
          <cell r="C486">
            <v>46161</v>
          </cell>
        </row>
        <row r="487">
          <cell r="A487" t="str">
            <v>JTB63370</v>
          </cell>
          <cell r="B487" t="str">
            <v>秋424-JTB63370</v>
          </cell>
          <cell r="C487">
            <v>46161</v>
          </cell>
        </row>
        <row r="488">
          <cell r="A488" t="str">
            <v>JEG63096</v>
          </cell>
          <cell r="B488" t="str">
            <v>秋433-JEG63096</v>
          </cell>
          <cell r="C488">
            <v>46162</v>
          </cell>
        </row>
        <row r="489">
          <cell r="A489" t="str">
            <v>JXN63393</v>
          </cell>
          <cell r="B489" t="str">
            <v>秋515-JXN63393</v>
          </cell>
          <cell r="C489">
            <v>46162</v>
          </cell>
        </row>
        <row r="490">
          <cell r="A490" t="str">
            <v>JXG63392</v>
          </cell>
          <cell r="B490" t="str">
            <v>秋529-JXG63392</v>
          </cell>
          <cell r="C490">
            <v>46162</v>
          </cell>
        </row>
        <row r="491">
          <cell r="A491" t="str">
            <v>JXG63112</v>
          </cell>
          <cell r="B491" t="str">
            <v>秋535-JXG63112</v>
          </cell>
          <cell r="C491">
            <v>46162</v>
          </cell>
        </row>
        <row r="492">
          <cell r="A492" t="str">
            <v>JJG63893</v>
          </cell>
          <cell r="B492" t="str">
            <v>秋387-JJG63893</v>
          </cell>
          <cell r="C492">
            <v>46162</v>
          </cell>
        </row>
        <row r="493">
          <cell r="A493" t="str">
            <v>JJG63894</v>
          </cell>
          <cell r="B493" t="str">
            <v>秋388-JJG63894</v>
          </cell>
          <cell r="C493">
            <v>46162</v>
          </cell>
        </row>
        <row r="494">
          <cell r="A494" t="str">
            <v>JQG65805</v>
          </cell>
          <cell r="B494" t="str">
            <v>深秋9-JQG65805</v>
          </cell>
          <cell r="C494">
            <v>46163</v>
          </cell>
        </row>
        <row r="495">
          <cell r="A495" t="str">
            <v>JJG63898</v>
          </cell>
          <cell r="B495" t="str">
            <v>秋314-JJG63898</v>
          </cell>
          <cell r="C495">
            <v>46163</v>
          </cell>
        </row>
        <row r="496">
          <cell r="A496" t="str">
            <v>JTG63367</v>
          </cell>
          <cell r="B496" t="str">
            <v>秋425-JTG63367</v>
          </cell>
          <cell r="C496">
            <v>46163</v>
          </cell>
        </row>
        <row r="497">
          <cell r="A497" t="str">
            <v>JCG63087</v>
          </cell>
          <cell r="B497" t="str">
            <v>秋430-JCG63087</v>
          </cell>
          <cell r="C497">
            <v>46163</v>
          </cell>
        </row>
        <row r="498">
          <cell r="A498" t="str">
            <v>JLG63088</v>
          </cell>
          <cell r="B498" t="str">
            <v>秋441-JLG63088</v>
          </cell>
          <cell r="C498">
            <v>46163</v>
          </cell>
        </row>
        <row r="499">
          <cell r="A499" t="str">
            <v>JQG63086</v>
          </cell>
          <cell r="B499" t="str">
            <v>秋444-JQG63086</v>
          </cell>
          <cell r="C499">
            <v>46163</v>
          </cell>
        </row>
        <row r="500">
          <cell r="A500" t="str">
            <v>JQG63866</v>
          </cell>
          <cell r="B500" t="str">
            <v>秋450-JQG63866</v>
          </cell>
          <cell r="C500">
            <v>46163</v>
          </cell>
        </row>
        <row r="501">
          <cell r="A501" t="str">
            <v>JCG63378</v>
          </cell>
          <cell r="B501" t="str">
            <v>秋492-JCG63378</v>
          </cell>
          <cell r="C501">
            <v>46163</v>
          </cell>
        </row>
        <row r="502">
          <cell r="A502" t="str">
            <v>JKB63386</v>
          </cell>
          <cell r="B502" t="str">
            <v>秋498-JKB63386</v>
          </cell>
          <cell r="C502">
            <v>46163</v>
          </cell>
        </row>
        <row r="503">
          <cell r="A503" t="str">
            <v>JQG63897</v>
          </cell>
          <cell r="B503" t="str">
            <v>秋451-JQG63897</v>
          </cell>
          <cell r="C503">
            <v>46164</v>
          </cell>
        </row>
        <row r="504">
          <cell r="A504" t="str">
            <v>JXG63103</v>
          </cell>
          <cell r="B504" t="str">
            <v>秋491-JXG63103</v>
          </cell>
          <cell r="C504">
            <v>46164</v>
          </cell>
        </row>
        <row r="505">
          <cell r="A505" t="str">
            <v>JRG63114</v>
          </cell>
          <cell r="B505" t="str">
            <v>秋531-JRG63114</v>
          </cell>
          <cell r="C505">
            <v>46164</v>
          </cell>
        </row>
        <row r="506">
          <cell r="A506" t="str">
            <v>JXG63113</v>
          </cell>
          <cell r="B506" t="str">
            <v>秋536-JXG63113</v>
          </cell>
          <cell r="C506">
            <v>46164</v>
          </cell>
        </row>
        <row r="507">
          <cell r="A507" t="str">
            <v>JJN65813A</v>
          </cell>
          <cell r="B507" t="str">
            <v>深秋42-JJN65813A</v>
          </cell>
          <cell r="C507">
            <v>46164</v>
          </cell>
        </row>
        <row r="508">
          <cell r="A508" t="str">
            <v>JJN65813B</v>
          </cell>
          <cell r="B508" t="str">
            <v>深秋42-JJN65813B</v>
          </cell>
          <cell r="C508">
            <v>46164</v>
          </cell>
        </row>
        <row r="509">
          <cell r="A509" t="str">
            <v>JAG64820</v>
          </cell>
          <cell r="B509" t="str">
            <v>冬15-JAG64820</v>
          </cell>
          <cell r="C509">
            <v>46164</v>
          </cell>
        </row>
        <row r="510">
          <cell r="A510" t="str">
            <v>JLB63102</v>
          </cell>
          <cell r="B510" t="str">
            <v>秋484-JLB63102</v>
          </cell>
          <cell r="C510">
            <v>46165</v>
          </cell>
        </row>
        <row r="511">
          <cell r="A511" t="str">
            <v>JRG63105</v>
          </cell>
          <cell r="B511" t="str">
            <v>秋485-JRG63105</v>
          </cell>
          <cell r="C511">
            <v>46165</v>
          </cell>
        </row>
        <row r="512">
          <cell r="A512" t="str">
            <v>JRG63110</v>
          </cell>
          <cell r="B512" t="str">
            <v>秋487-JRG63110</v>
          </cell>
          <cell r="C512">
            <v>46165</v>
          </cell>
        </row>
        <row r="513">
          <cell r="A513" t="str">
            <v>JKN63397</v>
          </cell>
          <cell r="B513" t="str">
            <v>秋518-JKN63397</v>
          </cell>
          <cell r="C513">
            <v>46165</v>
          </cell>
        </row>
        <row r="514">
          <cell r="A514" t="str">
            <v>JRG63388</v>
          </cell>
          <cell r="B514" t="str">
            <v>秋523-JRG63388</v>
          </cell>
          <cell r="C514">
            <v>46165</v>
          </cell>
        </row>
        <row r="515">
          <cell r="A515" t="str">
            <v>JJN65815</v>
          </cell>
          <cell r="B515" t="str">
            <v>深秋40-JJN65815</v>
          </cell>
          <cell r="C515">
            <v>46165</v>
          </cell>
        </row>
        <row r="516">
          <cell r="A516" t="str">
            <v>JJN65812</v>
          </cell>
          <cell r="B516" t="str">
            <v>深秋41-JJN65812</v>
          </cell>
          <cell r="C516">
            <v>46165</v>
          </cell>
        </row>
        <row r="517">
          <cell r="A517" t="str">
            <v>JJN65814</v>
          </cell>
          <cell r="B517" t="str">
            <v>深秋43-JJN65814</v>
          </cell>
          <cell r="C517">
            <v>46165</v>
          </cell>
        </row>
        <row r="518">
          <cell r="A518" t="str">
            <v>JJN65821</v>
          </cell>
          <cell r="B518" t="str">
            <v>深秋43-JJN65821</v>
          </cell>
          <cell r="C518">
            <v>46165</v>
          </cell>
        </row>
        <row r="519">
          <cell r="A519" t="str">
            <v>JJN65822</v>
          </cell>
          <cell r="B519" t="str">
            <v>深秋44-JJN65822</v>
          </cell>
          <cell r="C519">
            <v>46165</v>
          </cell>
        </row>
        <row r="520">
          <cell r="A520" t="str">
            <v>JQG63489</v>
          </cell>
          <cell r="B520" t="str">
            <v>秋402-JQG63489</v>
          </cell>
          <cell r="C520">
            <v>46165</v>
          </cell>
        </row>
        <row r="521">
          <cell r="A521" t="str">
            <v>JEG63099</v>
          </cell>
          <cell r="B521" t="str">
            <v>秋435-JEG63099</v>
          </cell>
          <cell r="C521">
            <v>46165</v>
          </cell>
        </row>
        <row r="522">
          <cell r="A522" t="str">
            <v>JJG63399</v>
          </cell>
          <cell r="B522" t="str">
            <v>秋516-JJG63399</v>
          </cell>
          <cell r="C522">
            <v>46166</v>
          </cell>
        </row>
        <row r="523">
          <cell r="A523" t="str">
            <v>JTN63395</v>
          </cell>
          <cell r="B523" t="str">
            <v>秋528-JTN63395</v>
          </cell>
          <cell r="C523">
            <v>46166</v>
          </cell>
        </row>
        <row r="524">
          <cell r="A524" t="str">
            <v>JQG63091</v>
          </cell>
          <cell r="B524" t="str">
            <v>秋445-JQG63091</v>
          </cell>
          <cell r="C524">
            <v>46166</v>
          </cell>
        </row>
        <row r="525">
          <cell r="A525" t="str">
            <v>JQG63092</v>
          </cell>
          <cell r="B525" t="str">
            <v>秋446-JQG63092</v>
          </cell>
          <cell r="C525">
            <v>46166</v>
          </cell>
        </row>
        <row r="526">
          <cell r="A526" t="str">
            <v>JTG63895</v>
          </cell>
          <cell r="B526" t="str">
            <v>秋458-JTG63895</v>
          </cell>
          <cell r="C526">
            <v>46166</v>
          </cell>
        </row>
        <row r="527">
          <cell r="A527" t="str">
            <v>JJG63908</v>
          </cell>
          <cell r="B527" t="str">
            <v>秋448-JJG63908</v>
          </cell>
          <cell r="C527">
            <v>46167</v>
          </cell>
        </row>
        <row r="528">
          <cell r="A528" t="str">
            <v>JRN63907</v>
          </cell>
          <cell r="B528" t="str">
            <v>秋457-JRN63907</v>
          </cell>
          <cell r="C528">
            <v>46167</v>
          </cell>
        </row>
        <row r="529">
          <cell r="A529" t="str">
            <v>JXG63909</v>
          </cell>
          <cell r="B529" t="str">
            <v>秋462-JXG63909</v>
          </cell>
          <cell r="C529">
            <v>46167</v>
          </cell>
        </row>
        <row r="530">
          <cell r="A530" t="str">
            <v>JKB63414</v>
          </cell>
          <cell r="B530" t="str">
            <v>秋466-JKB63414</v>
          </cell>
          <cell r="C530">
            <v>46167</v>
          </cell>
        </row>
        <row r="531">
          <cell r="A531" t="str">
            <v>JKG63415</v>
          </cell>
          <cell r="B531" t="str">
            <v>秋467-JKG63415</v>
          </cell>
          <cell r="C531">
            <v>46167</v>
          </cell>
        </row>
        <row r="532">
          <cell r="A532" t="str">
            <v>JRB63411</v>
          </cell>
          <cell r="B532" t="str">
            <v>秋471-JRB63411</v>
          </cell>
          <cell r="C532">
            <v>46167</v>
          </cell>
        </row>
        <row r="533">
          <cell r="A533" t="str">
            <v>JRB63391</v>
          </cell>
          <cell r="B533" t="str">
            <v>秋521-JRB63391</v>
          </cell>
          <cell r="C533">
            <v>46167</v>
          </cell>
        </row>
        <row r="534">
          <cell r="A534" t="str">
            <v>JRG63387</v>
          </cell>
          <cell r="B534" t="str">
            <v>秋522-JRG63387</v>
          </cell>
          <cell r="C534">
            <v>46167</v>
          </cell>
        </row>
        <row r="535">
          <cell r="A535" t="str">
            <v>JJG65602</v>
          </cell>
          <cell r="B535" t="str">
            <v>深秋21-JJG65602</v>
          </cell>
          <cell r="C535">
            <v>46167</v>
          </cell>
        </row>
        <row r="536">
          <cell r="A536" t="str">
            <v>JJG65603</v>
          </cell>
          <cell r="B536" t="str">
            <v>深秋24-JJG65603</v>
          </cell>
          <cell r="C536">
            <v>46167</v>
          </cell>
        </row>
        <row r="537">
          <cell r="A537" t="str">
            <v>JQG63490</v>
          </cell>
          <cell r="B537" t="str">
            <v>秋403-JQG63490</v>
          </cell>
          <cell r="C537">
            <v>46167</v>
          </cell>
        </row>
        <row r="538">
          <cell r="A538" t="str">
            <v>JJG63090</v>
          </cell>
          <cell r="B538" t="str">
            <v>秋437-JJG63090</v>
          </cell>
          <cell r="C538">
            <v>46167</v>
          </cell>
        </row>
        <row r="539">
          <cell r="A539" t="str">
            <v>JYN64601</v>
          </cell>
          <cell r="B539" t="str">
            <v>冬61-JYN64601</v>
          </cell>
          <cell r="C539">
            <v>46168</v>
          </cell>
        </row>
        <row r="540">
          <cell r="A540" t="str">
            <v>JLG63416</v>
          </cell>
          <cell r="B540" t="str">
            <v>秋468-JLG63416</v>
          </cell>
          <cell r="C540">
            <v>46168</v>
          </cell>
        </row>
        <row r="541">
          <cell r="A541" t="str">
            <v>JRB63412</v>
          </cell>
          <cell r="B541" t="str">
            <v>秋472-JRB63412</v>
          </cell>
          <cell r="C541">
            <v>46168</v>
          </cell>
        </row>
        <row r="542">
          <cell r="A542" t="str">
            <v>JTN63419</v>
          </cell>
          <cell r="B542" t="str">
            <v>秋479-JTN63419</v>
          </cell>
          <cell r="C542">
            <v>46168</v>
          </cell>
        </row>
        <row r="543">
          <cell r="A543" t="str">
            <v>JKB63101</v>
          </cell>
          <cell r="B543" t="str">
            <v>秋483-JKB63101</v>
          </cell>
          <cell r="C543">
            <v>46168</v>
          </cell>
        </row>
        <row r="544">
          <cell r="A544" t="str">
            <v>JTG63104</v>
          </cell>
          <cell r="B544" t="str">
            <v>秋489-JTG63104</v>
          </cell>
          <cell r="C544">
            <v>46168</v>
          </cell>
        </row>
        <row r="545">
          <cell r="A545" t="str">
            <v>JLG63380</v>
          </cell>
          <cell r="B545" t="str">
            <v>秋500-JLG63380</v>
          </cell>
          <cell r="C545">
            <v>46168</v>
          </cell>
        </row>
        <row r="546">
          <cell r="A546" t="str">
            <v>JQG63673</v>
          </cell>
          <cell r="B546" t="str">
            <v>秋502-JQG63673</v>
          </cell>
          <cell r="C546">
            <v>46168</v>
          </cell>
        </row>
        <row r="547">
          <cell r="A547" t="str">
            <v>JHG63422</v>
          </cell>
          <cell r="B547" t="str">
            <v>秋505-JHG63422</v>
          </cell>
          <cell r="C547">
            <v>46168</v>
          </cell>
        </row>
        <row r="548">
          <cell r="A548" t="str">
            <v>JJG63423</v>
          </cell>
          <cell r="B548" t="str">
            <v>秋506-JJG63423</v>
          </cell>
          <cell r="C548">
            <v>46168</v>
          </cell>
        </row>
        <row r="549">
          <cell r="A549" t="str">
            <v>JRN63425</v>
          </cell>
          <cell r="B549" t="str">
            <v>秋510-JRN63425</v>
          </cell>
          <cell r="C549">
            <v>46168</v>
          </cell>
        </row>
        <row r="550">
          <cell r="A550" t="str">
            <v>JMG63359</v>
          </cell>
          <cell r="B550" t="str">
            <v>秋519-JMG63359</v>
          </cell>
          <cell r="C550">
            <v>46168</v>
          </cell>
        </row>
        <row r="551">
          <cell r="A551" t="str">
            <v>JYG64501</v>
          </cell>
          <cell r="B551" t="str">
            <v>冬2-JYG64501</v>
          </cell>
          <cell r="C551">
            <v>46168</v>
          </cell>
        </row>
        <row r="552">
          <cell r="A552" t="str">
            <v>JYG64502</v>
          </cell>
          <cell r="B552" t="str">
            <v>冬3-JYG64502</v>
          </cell>
          <cell r="C552">
            <v>46168</v>
          </cell>
        </row>
        <row r="553">
          <cell r="A553" t="str">
            <v>JYB64860</v>
          </cell>
          <cell r="B553" t="str">
            <v>冬56-JYB64860</v>
          </cell>
          <cell r="C553">
            <v>46169</v>
          </cell>
        </row>
        <row r="554">
          <cell r="A554" t="str">
            <v>JYB64861</v>
          </cell>
          <cell r="B554" t="str">
            <v>冬57-JYB64861</v>
          </cell>
          <cell r="C554">
            <v>46169</v>
          </cell>
        </row>
        <row r="555">
          <cell r="A555" t="str">
            <v>JYG64856</v>
          </cell>
          <cell r="B555" t="str">
            <v>冬58-JYG64856</v>
          </cell>
          <cell r="C555">
            <v>46169</v>
          </cell>
        </row>
        <row r="556">
          <cell r="A556" t="str">
            <v>JYG64857</v>
          </cell>
          <cell r="B556" t="str">
            <v>冬59-JYG64857</v>
          </cell>
          <cell r="C556">
            <v>46169</v>
          </cell>
        </row>
        <row r="557">
          <cell r="A557" t="str">
            <v>JYN64855</v>
          </cell>
          <cell r="B557" t="str">
            <v>冬60-JYN64855</v>
          </cell>
          <cell r="C557">
            <v>46169</v>
          </cell>
        </row>
        <row r="558">
          <cell r="A558" t="str">
            <v>JEG63094</v>
          </cell>
          <cell r="B558" t="str">
            <v>秋432-JEG63094</v>
          </cell>
          <cell r="C558">
            <v>46169</v>
          </cell>
        </row>
        <row r="559">
          <cell r="A559" t="str">
            <v>JJG63910</v>
          </cell>
          <cell r="B559" t="str">
            <v>秋449-JJG63910</v>
          </cell>
          <cell r="C559">
            <v>46169</v>
          </cell>
        </row>
        <row r="560">
          <cell r="A560" t="str">
            <v>JQG63901</v>
          </cell>
          <cell r="B560" t="str">
            <v>秋453-JQG63901</v>
          </cell>
          <cell r="C560">
            <v>46169</v>
          </cell>
        </row>
        <row r="561">
          <cell r="A561" t="str">
            <v>JQG63382</v>
          </cell>
          <cell r="B561" t="str">
            <v>秋501-JQG63382</v>
          </cell>
          <cell r="C561">
            <v>46169</v>
          </cell>
        </row>
        <row r="562">
          <cell r="A562" t="str">
            <v>JTG63421</v>
          </cell>
          <cell r="B562" t="str">
            <v>秋512-JTG63421</v>
          </cell>
          <cell r="C562">
            <v>46169</v>
          </cell>
        </row>
        <row r="563">
          <cell r="A563" t="str">
            <v>JKG63396</v>
          </cell>
          <cell r="B563" t="str">
            <v>秋517-JKG63396</v>
          </cell>
          <cell r="C563">
            <v>46169</v>
          </cell>
        </row>
        <row r="564">
          <cell r="A564" t="str">
            <v>JRG63389</v>
          </cell>
          <cell r="B564" t="str">
            <v>秋524-JRG63389</v>
          </cell>
          <cell r="C564">
            <v>46169</v>
          </cell>
        </row>
        <row r="565">
          <cell r="A565" t="str">
            <v>JTN63348</v>
          </cell>
          <cell r="B565" t="str">
            <v>秋527-JTN63348</v>
          </cell>
          <cell r="C565">
            <v>46169</v>
          </cell>
        </row>
        <row r="566">
          <cell r="A566" t="str">
            <v>JRG63117</v>
          </cell>
          <cell r="B566" t="str">
            <v>秋532-JRG63117</v>
          </cell>
          <cell r="C566">
            <v>46169</v>
          </cell>
        </row>
        <row r="567">
          <cell r="A567" t="str">
            <v>JRG63918</v>
          </cell>
          <cell r="B567" t="str">
            <v>秋542-JRG63918</v>
          </cell>
          <cell r="C567">
            <v>46169</v>
          </cell>
        </row>
        <row r="568">
          <cell r="A568" t="str">
            <v>JTG63902</v>
          </cell>
          <cell r="B568" t="str">
            <v>秋564-JTG63902</v>
          </cell>
          <cell r="C568">
            <v>46169</v>
          </cell>
        </row>
        <row r="569">
          <cell r="A569" t="str">
            <v>JYB64858</v>
          </cell>
          <cell r="B569" t="str">
            <v>冬55-JYB64858</v>
          </cell>
          <cell r="C569">
            <v>46169</v>
          </cell>
        </row>
        <row r="570">
          <cell r="A570" t="str">
            <v>JHG63121</v>
          </cell>
          <cell r="B570" t="str">
            <v>秋530-JHG63121</v>
          </cell>
          <cell r="C570">
            <v>46170</v>
          </cell>
        </row>
        <row r="571">
          <cell r="A571" t="str">
            <v>JCB63914</v>
          </cell>
          <cell r="B571" t="str">
            <v>秋537-JCB63914</v>
          </cell>
          <cell r="C571">
            <v>46170</v>
          </cell>
        </row>
        <row r="572">
          <cell r="A572" t="str">
            <v>JTG63917</v>
          </cell>
          <cell r="B572" t="str">
            <v>秋543-JTG63917</v>
          </cell>
          <cell r="C572">
            <v>46170</v>
          </cell>
        </row>
        <row r="573">
          <cell r="A573" t="str">
            <v>JEG63098</v>
          </cell>
          <cell r="B573" t="str">
            <v>秋434-JEG63098</v>
          </cell>
          <cell r="C573">
            <v>46170</v>
          </cell>
        </row>
        <row r="574">
          <cell r="A574" t="str">
            <v>JHB63407</v>
          </cell>
          <cell r="B574" t="str">
            <v>秋439-JHB63407</v>
          </cell>
          <cell r="C574">
            <v>46170</v>
          </cell>
        </row>
        <row r="575">
          <cell r="A575" t="str">
            <v>JQG63900</v>
          </cell>
          <cell r="B575" t="str">
            <v>秋452-JQG63900</v>
          </cell>
          <cell r="C575">
            <v>46170</v>
          </cell>
        </row>
        <row r="576">
          <cell r="A576" t="str">
            <v>JQG63905</v>
          </cell>
          <cell r="B576" t="str">
            <v>秋455-JQG63905</v>
          </cell>
          <cell r="C576">
            <v>46170</v>
          </cell>
        </row>
        <row r="577">
          <cell r="A577" t="str">
            <v>JHB63409</v>
          </cell>
          <cell r="B577" t="str">
            <v>秋465-JHB63409</v>
          </cell>
          <cell r="C577">
            <v>46170</v>
          </cell>
        </row>
        <row r="578">
          <cell r="A578" t="str">
            <v>JTB63417</v>
          </cell>
          <cell r="B578" t="str">
            <v>秋477-JTB63417</v>
          </cell>
          <cell r="C578">
            <v>46170</v>
          </cell>
        </row>
        <row r="579">
          <cell r="A579" t="str">
            <v>JTG63374</v>
          </cell>
          <cell r="B579" t="str">
            <v>秋503-JTG63374</v>
          </cell>
          <cell r="C579">
            <v>46170</v>
          </cell>
        </row>
        <row r="580">
          <cell r="A580" t="str">
            <v>JTG63375</v>
          </cell>
          <cell r="B580" t="str">
            <v>秋504-JTG63375</v>
          </cell>
          <cell r="C580">
            <v>46170</v>
          </cell>
        </row>
        <row r="581">
          <cell r="A581" t="str">
            <v>JKG63095</v>
          </cell>
          <cell r="B581" t="str">
            <v>秋440-JKG63095</v>
          </cell>
          <cell r="C581">
            <v>46171</v>
          </cell>
        </row>
        <row r="582">
          <cell r="A582" t="str">
            <v>JQG63906</v>
          </cell>
          <cell r="B582" t="str">
            <v>秋456-JQG63906</v>
          </cell>
          <cell r="C582">
            <v>46171</v>
          </cell>
        </row>
        <row r="583">
          <cell r="A583" t="str">
            <v>JTN63418</v>
          </cell>
          <cell r="B583" t="str">
            <v>秋478-JTN63418</v>
          </cell>
          <cell r="C583">
            <v>46171</v>
          </cell>
        </row>
        <row r="584">
          <cell r="A584" t="str">
            <v>JRG63106</v>
          </cell>
          <cell r="B584" t="str">
            <v>秋486-JRG63106</v>
          </cell>
          <cell r="C584">
            <v>46171</v>
          </cell>
        </row>
        <row r="585">
          <cell r="A585" t="str">
            <v>JTB63108</v>
          </cell>
          <cell r="B585" t="str">
            <v>秋488-JTB63108</v>
          </cell>
          <cell r="C585">
            <v>46171</v>
          </cell>
        </row>
        <row r="586">
          <cell r="A586" t="str">
            <v>JJN63921</v>
          </cell>
          <cell r="B586" t="str">
            <v>秋544-JJN63921</v>
          </cell>
          <cell r="C586">
            <v>46171</v>
          </cell>
        </row>
        <row r="587">
          <cell r="A587" t="str">
            <v>JJB63433</v>
          </cell>
          <cell r="B587" t="str">
            <v>秋545-JJB63433</v>
          </cell>
          <cell r="C587">
            <v>46171</v>
          </cell>
        </row>
        <row r="588">
          <cell r="A588" t="str">
            <v>JTG63435</v>
          </cell>
          <cell r="B588" t="str">
            <v>秋547-JTG63435</v>
          </cell>
          <cell r="C588">
            <v>46171</v>
          </cell>
        </row>
        <row r="589">
          <cell r="A589" t="str">
            <v>JZG63431</v>
          </cell>
          <cell r="B589" t="str">
            <v>秋550-JZG63431</v>
          </cell>
          <cell r="C589">
            <v>46171</v>
          </cell>
        </row>
        <row r="590">
          <cell r="A590" t="str">
            <v>JDG63122</v>
          </cell>
          <cell r="B590" t="str">
            <v>秋551-JDG63122</v>
          </cell>
          <cell r="C590">
            <v>46171</v>
          </cell>
        </row>
        <row r="591">
          <cell r="A591" t="str">
            <v>JDG63123</v>
          </cell>
          <cell r="B591" t="str">
            <v>秋552-JDG63123</v>
          </cell>
          <cell r="C591">
            <v>46171</v>
          </cell>
        </row>
        <row r="592">
          <cell r="A592" t="str">
            <v>JKG63124</v>
          </cell>
          <cell r="B592" t="str">
            <v>秋553-JKG63124</v>
          </cell>
          <cell r="C592">
            <v>46171</v>
          </cell>
        </row>
        <row r="593">
          <cell r="A593" t="str">
            <v>JQG63899</v>
          </cell>
          <cell r="B593" t="str">
            <v>秋565-JQG63899</v>
          </cell>
          <cell r="C593">
            <v>46171</v>
          </cell>
        </row>
        <row r="594">
          <cell r="A594" t="str">
            <v>JJB65809</v>
          </cell>
          <cell r="B594" t="str">
            <v>深秋16-JJB65809</v>
          </cell>
          <cell r="C594">
            <v>46171</v>
          </cell>
        </row>
        <row r="595">
          <cell r="A595" t="str">
            <v>JJN65826</v>
          </cell>
          <cell r="B595" t="str">
            <v>深秋38-JJN65826</v>
          </cell>
          <cell r="C595">
            <v>46171</v>
          </cell>
        </row>
        <row r="596">
          <cell r="A596" t="str">
            <v>JCG63093</v>
          </cell>
          <cell r="B596" t="str">
            <v>秋431-JCG63093</v>
          </cell>
          <cell r="C596">
            <v>46171</v>
          </cell>
        </row>
        <row r="597">
          <cell r="A597" t="str">
            <v>JKG63049B</v>
          </cell>
          <cell r="B597" t="str">
            <v>253-JKG63049B</v>
          </cell>
          <cell r="C597">
            <v>46171</v>
          </cell>
        </row>
        <row r="598">
          <cell r="A598" t="str">
            <v>JYN64814B</v>
          </cell>
          <cell r="B598" t="str">
            <v>冬12-JYN64814B</v>
          </cell>
          <cell r="C598">
            <v>46172</v>
          </cell>
        </row>
        <row r="599">
          <cell r="A599" t="str">
            <v>JYN64826</v>
          </cell>
          <cell r="B599" t="str">
            <v>冬24-JYN64826</v>
          </cell>
          <cell r="C599">
            <v>46172</v>
          </cell>
        </row>
        <row r="600">
          <cell r="A600" t="str">
            <v>JYN64805</v>
          </cell>
          <cell r="B600" t="str">
            <v>冬62-JYN64805</v>
          </cell>
          <cell r="C600">
            <v>46172</v>
          </cell>
        </row>
        <row r="601">
          <cell r="A601" t="str">
            <v>JYN64806</v>
          </cell>
          <cell r="B601" t="str">
            <v>冬63-JYN64806</v>
          </cell>
          <cell r="C601">
            <v>46172</v>
          </cell>
        </row>
        <row r="602">
          <cell r="A602" t="str">
            <v>JYN64808</v>
          </cell>
          <cell r="B602" t="str">
            <v>冬64-JYN64808</v>
          </cell>
          <cell r="C602">
            <v>46172</v>
          </cell>
        </row>
        <row r="603">
          <cell r="A603" t="str">
            <v>JYG64802</v>
          </cell>
          <cell r="B603" t="str">
            <v>冬65-JYG64802</v>
          </cell>
          <cell r="C603">
            <v>46172</v>
          </cell>
        </row>
        <row r="604">
          <cell r="A604" t="str">
            <v>JYG64803</v>
          </cell>
          <cell r="B604" t="str">
            <v>冬66-JYG64803</v>
          </cell>
          <cell r="C604">
            <v>46172</v>
          </cell>
        </row>
        <row r="605">
          <cell r="A605" t="str">
            <v>JTG63913</v>
          </cell>
          <cell r="B605" t="str">
            <v>秋460-JTG63913</v>
          </cell>
          <cell r="C605">
            <v>46172</v>
          </cell>
        </row>
        <row r="606">
          <cell r="A606" t="str">
            <v>JQG63406</v>
          </cell>
          <cell r="B606" t="str">
            <v>秋470-JQG63406</v>
          </cell>
          <cell r="C606">
            <v>46172</v>
          </cell>
        </row>
        <row r="607">
          <cell r="A607" t="str">
            <v>JJG63107</v>
          </cell>
          <cell r="B607" t="str">
            <v>秋482-JJG63107</v>
          </cell>
          <cell r="C607">
            <v>46172</v>
          </cell>
        </row>
        <row r="608">
          <cell r="A608" t="str">
            <v>JTG63394</v>
          </cell>
          <cell r="B608" t="str">
            <v>秋526-JTG63394</v>
          </cell>
          <cell r="C608">
            <v>46172</v>
          </cell>
        </row>
        <row r="609">
          <cell r="A609" t="str">
            <v>JRG63120</v>
          </cell>
          <cell r="B609" t="str">
            <v>秋533-JRG63120</v>
          </cell>
          <cell r="C609">
            <v>46172</v>
          </cell>
        </row>
        <row r="610">
          <cell r="A610" t="str">
            <v>JQG63430</v>
          </cell>
          <cell r="B610" t="str">
            <v>秋546-JQG63430</v>
          </cell>
          <cell r="C610">
            <v>46172</v>
          </cell>
        </row>
        <row r="611">
          <cell r="A611" t="str">
            <v>JDG63343</v>
          </cell>
          <cell r="B611" t="str">
            <v>秋554-JDG63343</v>
          </cell>
          <cell r="C611">
            <v>46172</v>
          </cell>
        </row>
        <row r="612">
          <cell r="A612" t="str">
            <v>JDG63344</v>
          </cell>
          <cell r="B612" t="str">
            <v>秋555-JDG63344</v>
          </cell>
          <cell r="C612">
            <v>46172</v>
          </cell>
        </row>
        <row r="613">
          <cell r="A613" t="str">
            <v>JXG63346</v>
          </cell>
          <cell r="B613" t="str">
            <v>秋557-JXG63346</v>
          </cell>
          <cell r="C613">
            <v>46172</v>
          </cell>
        </row>
        <row r="614">
          <cell r="A614" t="str">
            <v>JXG63347</v>
          </cell>
          <cell r="B614" t="str">
            <v>秋558-JXG63347</v>
          </cell>
          <cell r="C614">
            <v>46172</v>
          </cell>
        </row>
        <row r="615">
          <cell r="A615" t="str">
            <v>JXN63345</v>
          </cell>
          <cell r="B615" t="str">
            <v>秋559-JXN63345</v>
          </cell>
          <cell r="C615">
            <v>46172</v>
          </cell>
        </row>
        <row r="616">
          <cell r="A616" t="str">
            <v>JTG63926</v>
          </cell>
          <cell r="B616" t="str">
            <v>秋563-JTG63926</v>
          </cell>
          <cell r="C616">
            <v>46172</v>
          </cell>
        </row>
        <row r="617">
          <cell r="A617" t="str">
            <v>JJN65827</v>
          </cell>
          <cell r="B617" t="str">
            <v>深秋39-JJN65827</v>
          </cell>
          <cell r="C617">
            <v>46172</v>
          </cell>
        </row>
        <row r="618">
          <cell r="A618" t="str">
            <v>JYG64801</v>
          </cell>
          <cell r="B618" t="str">
            <v>冬1-JYG64801</v>
          </cell>
          <cell r="C618">
            <v>46172</v>
          </cell>
        </row>
        <row r="619">
          <cell r="A619" t="str">
            <v>JYN64814A</v>
          </cell>
          <cell r="B619" t="str">
            <v>冬12-JYN64814A</v>
          </cell>
          <cell r="C619">
            <v>46172</v>
          </cell>
        </row>
        <row r="620">
          <cell r="A620" t="str">
            <v>JHB64832</v>
          </cell>
          <cell r="B620" t="str">
            <v>冬36-JHB64832</v>
          </cell>
          <cell r="C620">
            <v>46173</v>
          </cell>
        </row>
        <row r="621">
          <cell r="A621" t="str">
            <v>JGG64845</v>
          </cell>
          <cell r="B621" t="str">
            <v>冬43-JGG64845</v>
          </cell>
          <cell r="C621">
            <v>46173</v>
          </cell>
        </row>
        <row r="622">
          <cell r="A622" t="str">
            <v>JQG63405</v>
          </cell>
          <cell r="B622" t="str">
            <v>秋469-JQG63405</v>
          </cell>
          <cell r="C622">
            <v>46173</v>
          </cell>
        </row>
        <row r="623">
          <cell r="A623" t="str">
            <v>JTG63118</v>
          </cell>
          <cell r="B623" t="str">
            <v>秋534-JTG63118</v>
          </cell>
          <cell r="C623">
            <v>46173</v>
          </cell>
        </row>
        <row r="624">
          <cell r="A624" t="str">
            <v>JQG63916</v>
          </cell>
          <cell r="B624" t="str">
            <v>秋539-JQG63916</v>
          </cell>
          <cell r="C624">
            <v>46173</v>
          </cell>
        </row>
        <row r="625">
          <cell r="A625" t="str">
            <v>JTG63436</v>
          </cell>
          <cell r="B625" t="str">
            <v>秋548-JTG63436</v>
          </cell>
          <cell r="C625">
            <v>46173</v>
          </cell>
        </row>
        <row r="626">
          <cell r="A626" t="str">
            <v>JRG63925</v>
          </cell>
          <cell r="B626" t="str">
            <v>秋562-JRG63925</v>
          </cell>
          <cell r="C626">
            <v>46173</v>
          </cell>
        </row>
        <row r="627">
          <cell r="A627" t="str">
            <v>JAB64830</v>
          </cell>
          <cell r="B627" t="str">
            <v>冬30-JAB64830</v>
          </cell>
          <cell r="C627">
            <v>46173</v>
          </cell>
        </row>
        <row r="628">
          <cell r="A628" t="str">
            <v>JAG64831</v>
          </cell>
          <cell r="B628" t="str">
            <v>冬31-JAG64831</v>
          </cell>
          <cell r="C628">
            <v>46173</v>
          </cell>
        </row>
        <row r="629">
          <cell r="A629" t="str">
            <v>JAG64841</v>
          </cell>
          <cell r="B629" t="str">
            <v>冬35-JAG64841</v>
          </cell>
          <cell r="C629">
            <v>46173</v>
          </cell>
        </row>
        <row r="630">
          <cell r="A630" t="str">
            <v>JYG64827</v>
          </cell>
          <cell r="B630" t="str">
            <v>冬68-JYG64827</v>
          </cell>
          <cell r="C630">
            <v>46173</v>
          </cell>
        </row>
        <row r="631">
          <cell r="A631" t="str">
            <v>JYN64804</v>
          </cell>
          <cell r="B631" t="str">
            <v>冬69-JYN64804</v>
          </cell>
          <cell r="C631">
            <v>46173</v>
          </cell>
        </row>
        <row r="632">
          <cell r="A632" t="str">
            <v>JYN64809</v>
          </cell>
          <cell r="B632" t="str">
            <v>冬70-JYN64809</v>
          </cell>
          <cell r="C632">
            <v>46173</v>
          </cell>
        </row>
        <row r="633">
          <cell r="A633" t="str">
            <v>JMG63089</v>
          </cell>
          <cell r="B633" t="str">
            <v>秋442-JMG63089</v>
          </cell>
          <cell r="C633">
            <v>46173</v>
          </cell>
        </row>
        <row r="634">
          <cell r="A634" t="str">
            <v>JAG64815</v>
          </cell>
          <cell r="B634" t="str">
            <v>冬9-JAG64815</v>
          </cell>
          <cell r="C634">
            <v>46173</v>
          </cell>
        </row>
        <row r="635">
          <cell r="A635" t="str">
            <v>JYN64812</v>
          </cell>
          <cell r="B635" t="str">
            <v>冬11-JYN64812</v>
          </cell>
          <cell r="C635">
            <v>46173</v>
          </cell>
        </row>
        <row r="636">
          <cell r="A636" t="str">
            <v>JAN64819</v>
          </cell>
          <cell r="B636" t="str">
            <v>冬14-JAN64819</v>
          </cell>
          <cell r="C636">
            <v>46173</v>
          </cell>
        </row>
        <row r="637">
          <cell r="A637" t="str">
            <v>JYB64821</v>
          </cell>
          <cell r="B637" t="str">
            <v>冬16-JYB64821</v>
          </cell>
          <cell r="C637">
            <v>46173</v>
          </cell>
        </row>
        <row r="638">
          <cell r="A638" t="str">
            <v>JYB64822</v>
          </cell>
          <cell r="B638" t="str">
            <v>冬17-JYB64822</v>
          </cell>
          <cell r="C638">
            <v>46173</v>
          </cell>
        </row>
        <row r="639">
          <cell r="A639" t="str">
            <v>JYG64818</v>
          </cell>
          <cell r="B639" t="str">
            <v>冬18-JYG64818</v>
          </cell>
          <cell r="C639">
            <v>46173</v>
          </cell>
        </row>
        <row r="640">
          <cell r="A640" t="str">
            <v>JYG64829</v>
          </cell>
          <cell r="B640" t="str">
            <v>冬22-JYG64829</v>
          </cell>
          <cell r="C640">
            <v>46173</v>
          </cell>
        </row>
        <row r="641">
          <cell r="A641" t="str">
            <v>JYN64824</v>
          </cell>
          <cell r="B641" t="str">
            <v>冬23-JYN64824</v>
          </cell>
          <cell r="C641">
            <v>46173</v>
          </cell>
        </row>
        <row r="642">
          <cell r="A642" t="str">
            <v>JYG64807</v>
          </cell>
          <cell r="B642" t="str">
            <v>冬67-JYG64807</v>
          </cell>
          <cell r="C642">
            <v>46173</v>
          </cell>
        </row>
        <row r="643">
          <cell r="A643" t="str">
            <v>JAG64604</v>
          </cell>
          <cell r="B643" t="str">
            <v>冬34-JAG64604</v>
          </cell>
          <cell r="C643">
            <v>46175</v>
          </cell>
        </row>
        <row r="644">
          <cell r="A644" t="str">
            <v>JAG64509</v>
          </cell>
          <cell r="B644" t="str">
            <v>冬38-JAG64509</v>
          </cell>
          <cell r="C644">
            <v>46175</v>
          </cell>
        </row>
        <row r="645">
          <cell r="A645" t="str">
            <v>JLG63342</v>
          </cell>
          <cell r="B645" t="str">
            <v>秋556-JLG63342</v>
          </cell>
          <cell r="C645">
            <v>46175</v>
          </cell>
        </row>
        <row r="646">
          <cell r="A646" t="str">
            <v>JHG63924</v>
          </cell>
          <cell r="B646" t="str">
            <v>秋560-JHG63924</v>
          </cell>
          <cell r="C646">
            <v>46175</v>
          </cell>
        </row>
        <row r="647">
          <cell r="A647" t="str">
            <v>JKG65512</v>
          </cell>
          <cell r="B647" t="str">
            <v>深秋30-JKG65512</v>
          </cell>
          <cell r="C647">
            <v>46175</v>
          </cell>
        </row>
        <row r="648">
          <cell r="A648" t="str">
            <v>JJN65010</v>
          </cell>
          <cell r="B648" t="str">
            <v>深秋32-JJN65010</v>
          </cell>
          <cell r="C648">
            <v>46175</v>
          </cell>
        </row>
        <row r="649">
          <cell r="A649" t="str">
            <v>JAG64603</v>
          </cell>
          <cell r="B649" t="str">
            <v>冬33-JAG64603</v>
          </cell>
          <cell r="C649">
            <v>46175</v>
          </cell>
        </row>
        <row r="650">
          <cell r="A650" t="str">
            <v>JAG64511</v>
          </cell>
          <cell r="B650" t="str">
            <v>冬39-JAG64511</v>
          </cell>
          <cell r="C650">
            <v>46176</v>
          </cell>
        </row>
        <row r="651">
          <cell r="A651" t="str">
            <v>JRB63338</v>
          </cell>
          <cell r="B651" t="str">
            <v>秋575-JRB63338</v>
          </cell>
          <cell r="C651">
            <v>46176</v>
          </cell>
        </row>
        <row r="652">
          <cell r="A652" t="str">
            <v>JQG65825</v>
          </cell>
          <cell r="B652" t="str">
            <v>深秋36-JQG65825</v>
          </cell>
          <cell r="C652">
            <v>46176</v>
          </cell>
        </row>
        <row r="653">
          <cell r="A653" t="str">
            <v>JRB65604</v>
          </cell>
          <cell r="B653" t="str">
            <v>深秋46-JRB65604</v>
          </cell>
          <cell r="C653">
            <v>46176</v>
          </cell>
        </row>
        <row r="654">
          <cell r="A654" t="str">
            <v>JJN65516</v>
          </cell>
          <cell r="B654" t="str">
            <v>深秋48-JJN65516</v>
          </cell>
          <cell r="C654">
            <v>46176</v>
          </cell>
        </row>
        <row r="655">
          <cell r="A655" t="str">
            <v>JAG64602</v>
          </cell>
          <cell r="B655" t="str">
            <v>冬32-JAG64602</v>
          </cell>
          <cell r="C655">
            <v>46176</v>
          </cell>
        </row>
        <row r="656">
          <cell r="A656" t="str">
            <v>JJG63337</v>
          </cell>
          <cell r="B656" t="str">
            <v>秋570-JJG63337</v>
          </cell>
          <cell r="C656">
            <v>46177</v>
          </cell>
        </row>
        <row r="657">
          <cell r="A657" t="str">
            <v>JJG65817</v>
          </cell>
          <cell r="B657" t="str">
            <v>深秋28-JJG65817</v>
          </cell>
          <cell r="C657">
            <v>46177</v>
          </cell>
        </row>
        <row r="658">
          <cell r="A658" t="str">
            <v>JKG65015</v>
          </cell>
          <cell r="B658" t="str">
            <v>深秋45-JKG65015</v>
          </cell>
          <cell r="C658">
            <v>46177</v>
          </cell>
        </row>
        <row r="659">
          <cell r="A659" t="str">
            <v>JDG63439</v>
          </cell>
          <cell r="B659" t="str">
            <v>秋566-JDG63439</v>
          </cell>
          <cell r="C659">
            <v>46177</v>
          </cell>
        </row>
        <row r="660">
          <cell r="A660" t="str">
            <v>JDG63441</v>
          </cell>
          <cell r="B660" t="str">
            <v>秋567-JDG63441</v>
          </cell>
          <cell r="C660">
            <v>46177</v>
          </cell>
        </row>
        <row r="661">
          <cell r="A661" t="str">
            <v>JDG65024</v>
          </cell>
          <cell r="B661" t="str">
            <v>深秋70-JDG65024</v>
          </cell>
          <cell r="C661">
            <v>46178</v>
          </cell>
        </row>
        <row r="662">
          <cell r="A662" t="str">
            <v>JAB64006</v>
          </cell>
          <cell r="B662" t="str">
            <v>冬41-JAB64006</v>
          </cell>
          <cell r="C662">
            <v>46178</v>
          </cell>
        </row>
        <row r="663">
          <cell r="A663" t="str">
            <v>JHB64850</v>
          </cell>
          <cell r="B663" t="str">
            <v>冬44-JHB64850</v>
          </cell>
          <cell r="C663">
            <v>46178</v>
          </cell>
        </row>
        <row r="664">
          <cell r="A664" t="str">
            <v>JAN64510</v>
          </cell>
          <cell r="B664" t="str">
            <v>冬47-JAN64510</v>
          </cell>
          <cell r="C664">
            <v>46178</v>
          </cell>
        </row>
        <row r="665">
          <cell r="A665" t="str">
            <v>JKG64608</v>
          </cell>
          <cell r="B665" t="str">
            <v>冬76-JKG64608</v>
          </cell>
          <cell r="C665">
            <v>46178</v>
          </cell>
        </row>
        <row r="666">
          <cell r="A666" t="str">
            <v>JTG63437</v>
          </cell>
          <cell r="B666" t="str">
            <v>秋549-JTG63437</v>
          </cell>
          <cell r="C666">
            <v>46178</v>
          </cell>
        </row>
        <row r="667">
          <cell r="A667" t="str">
            <v>JKN63339</v>
          </cell>
          <cell r="B667" t="str">
            <v>秋571-JKN63339</v>
          </cell>
          <cell r="C667">
            <v>46178</v>
          </cell>
        </row>
        <row r="668">
          <cell r="A668" t="str">
            <v>JTG65011</v>
          </cell>
          <cell r="B668" t="str">
            <v>深秋22-JTG65011</v>
          </cell>
          <cell r="C668">
            <v>46178</v>
          </cell>
        </row>
        <row r="669">
          <cell r="A669" t="str">
            <v>JDG65017</v>
          </cell>
          <cell r="B669" t="str">
            <v>深秋49-JDG65017</v>
          </cell>
          <cell r="C669">
            <v>46178</v>
          </cell>
        </row>
        <row r="670">
          <cell r="A670" t="str">
            <v>JHB65510</v>
          </cell>
          <cell r="B670" t="str">
            <v>深秋51-JHB65510</v>
          </cell>
          <cell r="C670">
            <v>46178</v>
          </cell>
        </row>
        <row r="671">
          <cell r="A671" t="str">
            <v>JKG65521</v>
          </cell>
          <cell r="B671" t="str">
            <v>深秋54-JKG65521</v>
          </cell>
          <cell r="C671">
            <v>46178</v>
          </cell>
        </row>
        <row r="672">
          <cell r="A672" t="str">
            <v>JMG65511</v>
          </cell>
          <cell r="B672" t="str">
            <v>深秋56-JMG65511</v>
          </cell>
          <cell r="C672">
            <v>46178</v>
          </cell>
        </row>
        <row r="673">
          <cell r="A673" t="str">
            <v>JLG63381</v>
          </cell>
          <cell r="B673" t="str">
            <v>秋574-JLG63381</v>
          </cell>
          <cell r="C673">
            <v>46180</v>
          </cell>
        </row>
        <row r="674">
          <cell r="A674" t="str">
            <v>JRN63125</v>
          </cell>
          <cell r="B674" t="str">
            <v>秋577-JRN63125</v>
          </cell>
          <cell r="C674">
            <v>46180</v>
          </cell>
        </row>
        <row r="675">
          <cell r="A675" t="str">
            <v>JKB65610</v>
          </cell>
          <cell r="B675" t="str">
            <v>深秋62-JKB65610</v>
          </cell>
          <cell r="C675">
            <v>46180</v>
          </cell>
        </row>
        <row r="676">
          <cell r="A676" t="str">
            <v>JKG65836</v>
          </cell>
          <cell r="B676" t="str">
            <v>深秋82-JKG65836</v>
          </cell>
          <cell r="C676">
            <v>46180</v>
          </cell>
        </row>
        <row r="677">
          <cell r="A677" t="str">
            <v>JRB65833</v>
          </cell>
          <cell r="B677" t="str">
            <v>深秋86-JRB65833</v>
          </cell>
          <cell r="C677">
            <v>46180</v>
          </cell>
        </row>
        <row r="678">
          <cell r="A678" t="str">
            <v>JHG63432</v>
          </cell>
          <cell r="B678" t="str">
            <v>秋525-JHG63432</v>
          </cell>
          <cell r="C678">
            <v>46181</v>
          </cell>
        </row>
        <row r="679">
          <cell r="A679" t="str">
            <v>JQG63922</v>
          </cell>
          <cell r="B679" t="str">
            <v>秋541-JQG63922</v>
          </cell>
          <cell r="C679">
            <v>46181</v>
          </cell>
        </row>
        <row r="680">
          <cell r="A680" t="str">
            <v>JKN63438A</v>
          </cell>
          <cell r="B680" t="str">
            <v>秋568-JKN63438A</v>
          </cell>
          <cell r="C680">
            <v>46181</v>
          </cell>
        </row>
        <row r="681">
          <cell r="A681" t="str">
            <v>JKN63438B</v>
          </cell>
          <cell r="B681" t="str">
            <v>秋568-JKN63438B</v>
          </cell>
          <cell r="C681">
            <v>46181</v>
          </cell>
        </row>
        <row r="682">
          <cell r="A682" t="str">
            <v>JQG63440</v>
          </cell>
          <cell r="B682" t="str">
            <v>秋569-JQG63440</v>
          </cell>
          <cell r="C682">
            <v>46181</v>
          </cell>
        </row>
        <row r="683">
          <cell r="A683" t="str">
            <v>JXG63930</v>
          </cell>
          <cell r="B683" t="str">
            <v>秋582-JXG63930</v>
          </cell>
          <cell r="C683">
            <v>46181</v>
          </cell>
        </row>
        <row r="684">
          <cell r="A684" t="str">
            <v>JHN63443</v>
          </cell>
          <cell r="B684" t="str">
            <v>秋583-JHN63443</v>
          </cell>
          <cell r="C684">
            <v>46181</v>
          </cell>
        </row>
        <row r="685">
          <cell r="A685" t="str">
            <v>JKG65023</v>
          </cell>
          <cell r="B685" t="str">
            <v>深秋75-JKG65023</v>
          </cell>
          <cell r="C685">
            <v>46181</v>
          </cell>
        </row>
        <row r="686">
          <cell r="A686" t="str">
            <v>JYN64007</v>
          </cell>
          <cell r="B686" t="str">
            <v>冬50-JYN64007</v>
          </cell>
          <cell r="C686">
            <v>46181</v>
          </cell>
        </row>
        <row r="687">
          <cell r="A687" t="str">
            <v>JQG63919</v>
          </cell>
          <cell r="B687" t="str">
            <v>秋540-JQG63919</v>
          </cell>
          <cell r="C687">
            <v>46182</v>
          </cell>
        </row>
        <row r="688">
          <cell r="A688" t="str">
            <v>JKN63340</v>
          </cell>
          <cell r="B688" t="str">
            <v>秋572-JKN63340</v>
          </cell>
          <cell r="C688">
            <v>46182</v>
          </cell>
        </row>
        <row r="689">
          <cell r="A689" t="str">
            <v>JLG63341</v>
          </cell>
          <cell r="B689" t="str">
            <v>秋573-JLG63341</v>
          </cell>
          <cell r="C689">
            <v>46182</v>
          </cell>
        </row>
        <row r="690">
          <cell r="A690" t="str">
            <v>JTG65513</v>
          </cell>
          <cell r="B690" t="str">
            <v>深秋31-JTG65513</v>
          </cell>
          <cell r="C690">
            <v>46182</v>
          </cell>
        </row>
        <row r="691">
          <cell r="A691" t="str">
            <v>JRG65818</v>
          </cell>
          <cell r="B691" t="str">
            <v>深秋37-JRG65818</v>
          </cell>
          <cell r="C691">
            <v>46182</v>
          </cell>
        </row>
        <row r="692">
          <cell r="A692" t="str">
            <v>JXB65524</v>
          </cell>
          <cell r="B692" t="str">
            <v>深秋59-JXB65524</v>
          </cell>
          <cell r="C692">
            <v>46182</v>
          </cell>
        </row>
        <row r="693">
          <cell r="A693" t="str">
            <v>JQG65020</v>
          </cell>
          <cell r="B693" t="str">
            <v>深秋79-JQG65020</v>
          </cell>
          <cell r="C693">
            <v>46182</v>
          </cell>
        </row>
        <row r="694">
          <cell r="A694" t="str">
            <v>JXB65525</v>
          </cell>
          <cell r="B694" t="str">
            <v>深秋80-JXB65525</v>
          </cell>
          <cell r="C694">
            <v>46182</v>
          </cell>
        </row>
        <row r="695">
          <cell r="A695" t="str">
            <v>JJG64606</v>
          </cell>
          <cell r="B695" t="str">
            <v>冬75-JJG64606</v>
          </cell>
          <cell r="C695">
            <v>46182</v>
          </cell>
        </row>
        <row r="696">
          <cell r="A696" t="str">
            <v>JKN64609</v>
          </cell>
          <cell r="B696" t="str">
            <v>冬77-JKN64609</v>
          </cell>
          <cell r="C696">
            <v>46182</v>
          </cell>
        </row>
        <row r="697">
          <cell r="A697" t="str">
            <v>JYG64835</v>
          </cell>
          <cell r="B697" t="str">
            <v>冬37-JYG64835</v>
          </cell>
          <cell r="C697">
            <v>46183</v>
          </cell>
        </row>
        <row r="698">
          <cell r="A698" t="str">
            <v>JYN64605</v>
          </cell>
          <cell r="B698" t="str">
            <v>冬40-JYN64605</v>
          </cell>
          <cell r="C698">
            <v>46183</v>
          </cell>
        </row>
        <row r="699">
          <cell r="A699" t="str">
            <v>JYN64848</v>
          </cell>
          <cell r="B699" t="str">
            <v>冬46-JYN64848</v>
          </cell>
          <cell r="C699">
            <v>46183</v>
          </cell>
        </row>
        <row r="700">
          <cell r="A700" t="str">
            <v>JJB64607</v>
          </cell>
          <cell r="B700" t="str">
            <v>冬74-JJB64607</v>
          </cell>
          <cell r="C700">
            <v>46183</v>
          </cell>
        </row>
        <row r="701">
          <cell r="A701" t="str">
            <v>JYG64838</v>
          </cell>
          <cell r="B701" t="str">
            <v>冬90-JYG64838</v>
          </cell>
          <cell r="C701">
            <v>46183</v>
          </cell>
        </row>
        <row r="702">
          <cell r="A702" t="str">
            <v>JYG64840</v>
          </cell>
          <cell r="B702" t="str">
            <v>冬91-JYG64840</v>
          </cell>
          <cell r="C702">
            <v>46183</v>
          </cell>
        </row>
        <row r="703">
          <cell r="A703" t="str">
            <v>JYN64837</v>
          </cell>
          <cell r="B703" t="str">
            <v>冬92-JYN64837</v>
          </cell>
          <cell r="C703">
            <v>46183</v>
          </cell>
        </row>
        <row r="704">
          <cell r="A704" t="str">
            <v>JQG63923</v>
          </cell>
          <cell r="B704" t="str">
            <v>秋561-JQG63923</v>
          </cell>
          <cell r="C704">
            <v>46183</v>
          </cell>
        </row>
        <row r="705">
          <cell r="A705" t="str">
            <v>JRB63336</v>
          </cell>
          <cell r="B705" t="str">
            <v>秋594-JRB63336</v>
          </cell>
          <cell r="C705">
            <v>46183</v>
          </cell>
        </row>
        <row r="706">
          <cell r="A706" t="str">
            <v>JRB65523</v>
          </cell>
          <cell r="B706" t="str">
            <v>深秋58-JRB65523</v>
          </cell>
          <cell r="C706">
            <v>46183</v>
          </cell>
        </row>
        <row r="707">
          <cell r="A707" t="str">
            <v>JJB65605</v>
          </cell>
          <cell r="B707" t="str">
            <v>深秋60-JJB65605</v>
          </cell>
          <cell r="C707">
            <v>46183</v>
          </cell>
        </row>
        <row r="708">
          <cell r="A708" t="str">
            <v>JKB65609</v>
          </cell>
          <cell r="B708" t="str">
            <v>深秋61-JKB65609</v>
          </cell>
          <cell r="C708">
            <v>46183</v>
          </cell>
        </row>
        <row r="709">
          <cell r="A709" t="str">
            <v>JRG65606</v>
          </cell>
          <cell r="B709" t="str">
            <v>深秋68-JRG65606</v>
          </cell>
          <cell r="C709">
            <v>46183</v>
          </cell>
        </row>
        <row r="710">
          <cell r="A710" t="str">
            <v>JDG65031</v>
          </cell>
          <cell r="B710" t="str">
            <v>深秋71-JDG65031</v>
          </cell>
          <cell r="C710">
            <v>46183</v>
          </cell>
        </row>
        <row r="711">
          <cell r="A711" t="str">
            <v>JKG65032</v>
          </cell>
          <cell r="B711" t="str">
            <v>深秋77-JKG65032</v>
          </cell>
          <cell r="C711">
            <v>46183</v>
          </cell>
        </row>
        <row r="712">
          <cell r="A712" t="str">
            <v>JRB65540</v>
          </cell>
          <cell r="B712" t="str">
            <v>深秋97-JRB65540</v>
          </cell>
          <cell r="C712">
            <v>46183</v>
          </cell>
        </row>
        <row r="713">
          <cell r="A713" t="str">
            <v>JRG65616</v>
          </cell>
          <cell r="B713" t="str">
            <v>深秋118-JRG65616</v>
          </cell>
          <cell r="C713">
            <v>46183</v>
          </cell>
        </row>
        <row r="714">
          <cell r="A714" t="str">
            <v>JYG64825</v>
          </cell>
          <cell r="B714" t="str">
            <v>冬20-JYG64825</v>
          </cell>
          <cell r="C714">
            <v>46183</v>
          </cell>
        </row>
        <row r="715">
          <cell r="A715" t="str">
            <v>JYG64828</v>
          </cell>
          <cell r="B715" t="str">
            <v>冬21-JYG64828</v>
          </cell>
          <cell r="C715">
            <v>46183</v>
          </cell>
        </row>
        <row r="716">
          <cell r="A716" t="str">
            <v>JTB63444</v>
          </cell>
          <cell r="B716" t="str">
            <v>秋585-JTB63444</v>
          </cell>
          <cell r="C716">
            <v>46185</v>
          </cell>
        </row>
        <row r="717">
          <cell r="A717" t="str">
            <v>JLN63335</v>
          </cell>
          <cell r="B717" t="str">
            <v>秋593-JLN63335</v>
          </cell>
          <cell r="C717">
            <v>46185</v>
          </cell>
        </row>
        <row r="718">
          <cell r="A718" t="str">
            <v>JTG63334</v>
          </cell>
          <cell r="B718" t="str">
            <v>秋595-JTG63334</v>
          </cell>
          <cell r="C718">
            <v>46185</v>
          </cell>
        </row>
        <row r="719">
          <cell r="A719" t="str">
            <v>JQG63938</v>
          </cell>
          <cell r="B719" t="str">
            <v>秋596-JQG63938</v>
          </cell>
          <cell r="C719">
            <v>46185</v>
          </cell>
        </row>
        <row r="720">
          <cell r="A720" t="str">
            <v>JKB65611</v>
          </cell>
          <cell r="B720" t="str">
            <v>深秋63-JKB65611</v>
          </cell>
          <cell r="C720">
            <v>46185</v>
          </cell>
        </row>
        <row r="721">
          <cell r="A721" t="str">
            <v>JKG65607</v>
          </cell>
          <cell r="B721" t="str">
            <v>深秋64-JKG65607</v>
          </cell>
          <cell r="C721">
            <v>46185</v>
          </cell>
        </row>
        <row r="722">
          <cell r="A722" t="str">
            <v>JAG64842</v>
          </cell>
          <cell r="B722" t="str">
            <v>冬42-JAG64842</v>
          </cell>
          <cell r="C722">
            <v>46185</v>
          </cell>
        </row>
        <row r="723">
          <cell r="A723" t="str">
            <v>JJG64009</v>
          </cell>
          <cell r="B723" t="str">
            <v>冬49-JJG64009</v>
          </cell>
          <cell r="C723">
            <v>46185</v>
          </cell>
        </row>
        <row r="724">
          <cell r="A724" t="str">
            <v>JZN64515</v>
          </cell>
          <cell r="B724" t="str">
            <v>冬79-JZN64515</v>
          </cell>
          <cell r="C724">
            <v>46185</v>
          </cell>
        </row>
        <row r="725">
          <cell r="A725" t="str">
            <v>JQG63931</v>
          </cell>
          <cell r="B725" t="str">
            <v>秋579-JQG63931</v>
          </cell>
          <cell r="C725">
            <v>46185</v>
          </cell>
        </row>
        <row r="726">
          <cell r="A726" t="str">
            <v>JKB65045</v>
          </cell>
          <cell r="B726" t="str">
            <v>深秋102-JKB65045</v>
          </cell>
          <cell r="C726">
            <v>46187</v>
          </cell>
        </row>
        <row r="727">
          <cell r="A727" t="str">
            <v>JKG65619</v>
          </cell>
          <cell r="B727" t="str">
            <v>深秋114-JKG65619</v>
          </cell>
          <cell r="C727">
            <v>46187</v>
          </cell>
        </row>
        <row r="728">
          <cell r="A728" t="str">
            <v>JKG64010</v>
          </cell>
          <cell r="B728" t="str">
            <v>冬82-JKG64010</v>
          </cell>
          <cell r="C728">
            <v>46187</v>
          </cell>
        </row>
        <row r="729">
          <cell r="A729" t="str">
            <v>JJB64864</v>
          </cell>
          <cell r="B729" t="str">
            <v>冬85-JJB64864</v>
          </cell>
          <cell r="C729">
            <v>46187</v>
          </cell>
        </row>
        <row r="730">
          <cell r="A730" t="str">
            <v>JQG63927</v>
          </cell>
          <cell r="B730" t="str">
            <v>秋578-JQG63927</v>
          </cell>
          <cell r="C730">
            <v>46187</v>
          </cell>
        </row>
        <row r="731">
          <cell r="A731" t="str">
            <v>JKG63333</v>
          </cell>
          <cell r="B731" t="str">
            <v>秋592-JKG63333</v>
          </cell>
          <cell r="C731">
            <v>46187</v>
          </cell>
        </row>
        <row r="732">
          <cell r="A732" t="str">
            <v>JXN63445</v>
          </cell>
          <cell r="B732" t="str">
            <v>秋601-JXN63445</v>
          </cell>
          <cell r="C732">
            <v>46187</v>
          </cell>
        </row>
        <row r="733">
          <cell r="A733" t="str">
            <v>JGG65526</v>
          </cell>
          <cell r="B733" t="str">
            <v>深秋50-JGG65526</v>
          </cell>
          <cell r="C733">
            <v>46187</v>
          </cell>
        </row>
        <row r="734">
          <cell r="A734" t="str">
            <v>JJG65527</v>
          </cell>
          <cell r="B734" t="str">
            <v>深秋52-JJG65527</v>
          </cell>
          <cell r="C734">
            <v>46187</v>
          </cell>
        </row>
        <row r="735">
          <cell r="A735" t="str">
            <v>JLB65613</v>
          </cell>
          <cell r="B735" t="str">
            <v>深秋66-JLB65613</v>
          </cell>
          <cell r="C735">
            <v>46187</v>
          </cell>
        </row>
        <row r="736">
          <cell r="A736" t="str">
            <v>JJG65830</v>
          </cell>
          <cell r="B736" t="str">
            <v>深秋81-JJG65830</v>
          </cell>
          <cell r="C736">
            <v>46187</v>
          </cell>
        </row>
        <row r="737">
          <cell r="A737" t="str">
            <v>JLB65832</v>
          </cell>
          <cell r="B737" t="str">
            <v>深秋83-JLB65832</v>
          </cell>
          <cell r="C737">
            <v>46187</v>
          </cell>
        </row>
        <row r="738">
          <cell r="A738" t="str">
            <v>JKB65543</v>
          </cell>
          <cell r="B738" t="str">
            <v>深秋89-JKB65543</v>
          </cell>
          <cell r="C738">
            <v>46187</v>
          </cell>
        </row>
        <row r="739">
          <cell r="A739" t="str">
            <v>JNN65539</v>
          </cell>
          <cell r="B739" t="str">
            <v>深秋96-JNN65539</v>
          </cell>
          <cell r="C739">
            <v>46187</v>
          </cell>
        </row>
        <row r="740">
          <cell r="A740" t="str">
            <v>JJN63442</v>
          </cell>
          <cell r="B740" t="str">
            <v>秋584-JJN63442</v>
          </cell>
          <cell r="C740">
            <v>46188</v>
          </cell>
        </row>
        <row r="741">
          <cell r="A741" t="str">
            <v>JXG63446</v>
          </cell>
          <cell r="B741" t="str">
            <v>秋600-JXG63446</v>
          </cell>
          <cell r="C741">
            <v>46188</v>
          </cell>
        </row>
        <row r="742">
          <cell r="A742" t="str">
            <v>JLG65612</v>
          </cell>
          <cell r="B742" t="str">
            <v>深秋67-JLG65612</v>
          </cell>
          <cell r="C742">
            <v>46188</v>
          </cell>
        </row>
        <row r="743">
          <cell r="A743" t="str">
            <v>JRG63126</v>
          </cell>
          <cell r="B743" t="str">
            <v>秋576-JRG63126</v>
          </cell>
          <cell r="C743">
            <v>46188</v>
          </cell>
        </row>
        <row r="744">
          <cell r="A744" t="str">
            <v>JHG64847</v>
          </cell>
          <cell r="B744" t="str">
            <v>冬112-JHG64847</v>
          </cell>
          <cell r="C744">
            <v>46189</v>
          </cell>
        </row>
        <row r="745">
          <cell r="A745" t="str">
            <v>JRG65567</v>
          </cell>
          <cell r="B745" t="str">
            <v>深秋147-JRG65567</v>
          </cell>
          <cell r="C745">
            <v>46189</v>
          </cell>
        </row>
        <row r="746">
          <cell r="A746" t="str">
            <v>JRN65637</v>
          </cell>
          <cell r="B746" t="str">
            <v>深秋156-JRN65637</v>
          </cell>
          <cell r="C746">
            <v>46189</v>
          </cell>
        </row>
        <row r="747">
          <cell r="A747" t="str">
            <v>JXB65636</v>
          </cell>
          <cell r="B747" t="str">
            <v>深秋157-JXB65636</v>
          </cell>
          <cell r="C747">
            <v>46189</v>
          </cell>
        </row>
        <row r="748">
          <cell r="A748" t="str">
            <v>JJB64513</v>
          </cell>
          <cell r="B748" t="str">
            <v>冬72-JJB64513</v>
          </cell>
          <cell r="C748">
            <v>46189</v>
          </cell>
        </row>
        <row r="749">
          <cell r="A749" t="str">
            <v>JHB64862</v>
          </cell>
          <cell r="B749" t="str">
            <v>冬84-JHB64862</v>
          </cell>
          <cell r="C749">
            <v>46189</v>
          </cell>
        </row>
        <row r="750">
          <cell r="A750" t="str">
            <v>JYN64859B</v>
          </cell>
          <cell r="B750" t="str">
            <v>冬88-JYN64859B</v>
          </cell>
          <cell r="C750">
            <v>46190</v>
          </cell>
        </row>
        <row r="751">
          <cell r="A751" t="str">
            <v>JVN64849</v>
          </cell>
          <cell r="B751" t="str">
            <v>冬93-JVN64849</v>
          </cell>
          <cell r="C751">
            <v>46190</v>
          </cell>
        </row>
        <row r="752">
          <cell r="A752" t="str">
            <v>JYN64859A</v>
          </cell>
          <cell r="B752" t="str">
            <v>冬87-JYN64859A</v>
          </cell>
          <cell r="C752">
            <v>46190</v>
          </cell>
        </row>
        <row r="753">
          <cell r="A753" t="str">
            <v>JDG65638</v>
          </cell>
          <cell r="B753" t="str">
            <v>深秋150-JDG65638</v>
          </cell>
          <cell r="C753">
            <v>46191</v>
          </cell>
        </row>
        <row r="754">
          <cell r="A754" t="str">
            <v>JXG65565</v>
          </cell>
          <cell r="B754" t="str">
            <v>深秋150-JXG65565</v>
          </cell>
          <cell r="C754">
            <v>46191</v>
          </cell>
        </row>
        <row r="755">
          <cell r="A755" t="str">
            <v>JAG64854</v>
          </cell>
          <cell r="B755" t="str">
            <v>冬51-JAG64854</v>
          </cell>
          <cell r="C755">
            <v>46191</v>
          </cell>
        </row>
        <row r="756">
          <cell r="A756" t="str">
            <v>JLG64610</v>
          </cell>
          <cell r="B756" t="str">
            <v>冬78-JLG64610</v>
          </cell>
          <cell r="C756">
            <v>46191</v>
          </cell>
        </row>
        <row r="757">
          <cell r="A757" t="str">
            <v>JHN64011</v>
          </cell>
          <cell r="B757" t="str">
            <v>冬80-JHN64011</v>
          </cell>
          <cell r="C757">
            <v>46191</v>
          </cell>
        </row>
        <row r="758">
          <cell r="A758" t="str">
            <v>JKG64014</v>
          </cell>
          <cell r="B758" t="str">
            <v>冬89-JKG64014</v>
          </cell>
          <cell r="C758">
            <v>46191</v>
          </cell>
        </row>
        <row r="759">
          <cell r="A759" t="str">
            <v>JQG63904</v>
          </cell>
          <cell r="B759" t="str">
            <v>秋454-JQG63904</v>
          </cell>
          <cell r="C759">
            <v>46191</v>
          </cell>
        </row>
        <row r="760">
          <cell r="A760" t="str">
            <v>JQG63920</v>
          </cell>
          <cell r="B760" t="str">
            <v>秋587-JQG63920</v>
          </cell>
          <cell r="C760">
            <v>46191</v>
          </cell>
        </row>
        <row r="761">
          <cell r="A761" t="str">
            <v>JTB63933</v>
          </cell>
          <cell r="B761" t="str">
            <v>秋589-JTB63933</v>
          </cell>
          <cell r="C761">
            <v>46191</v>
          </cell>
        </row>
        <row r="762">
          <cell r="A762" t="str">
            <v>JTG63934</v>
          </cell>
          <cell r="B762" t="str">
            <v>秋590-JTG63934</v>
          </cell>
          <cell r="C762">
            <v>46191</v>
          </cell>
        </row>
        <row r="763">
          <cell r="A763" t="str">
            <v>JTG63940</v>
          </cell>
          <cell r="B763" t="str">
            <v>秋597-JTG63940</v>
          </cell>
          <cell r="C763">
            <v>46191</v>
          </cell>
        </row>
        <row r="764">
          <cell r="A764" t="str">
            <v>JCG63447</v>
          </cell>
          <cell r="B764" t="str">
            <v>秋599-JCG63447</v>
          </cell>
          <cell r="C764">
            <v>46191</v>
          </cell>
        </row>
        <row r="765">
          <cell r="A765" t="str">
            <v>JLG63330</v>
          </cell>
          <cell r="B765" t="str">
            <v>秋602-JLG63330</v>
          </cell>
          <cell r="C765">
            <v>46191</v>
          </cell>
        </row>
        <row r="766">
          <cell r="A766" t="str">
            <v>JQG63331</v>
          </cell>
          <cell r="B766" t="str">
            <v>秋603-JQG63331</v>
          </cell>
          <cell r="C766">
            <v>46191</v>
          </cell>
        </row>
        <row r="767">
          <cell r="A767" t="str">
            <v>JKG65522</v>
          </cell>
          <cell r="B767" t="str">
            <v>深秋55-JKG65522</v>
          </cell>
          <cell r="C767">
            <v>46191</v>
          </cell>
        </row>
        <row r="768">
          <cell r="A768" t="str">
            <v>JTN65614</v>
          </cell>
          <cell r="B768" t="str">
            <v>深秋69-JTN65614</v>
          </cell>
          <cell r="C768">
            <v>46191</v>
          </cell>
        </row>
        <row r="769">
          <cell r="A769" t="str">
            <v>JJG65036</v>
          </cell>
          <cell r="B769" t="str">
            <v>深秋74-JJG65036</v>
          </cell>
          <cell r="C769">
            <v>46191</v>
          </cell>
        </row>
        <row r="770">
          <cell r="A770" t="str">
            <v>JKG65028</v>
          </cell>
          <cell r="B770" t="str">
            <v>深秋76-JKG65028</v>
          </cell>
          <cell r="C770">
            <v>46191</v>
          </cell>
        </row>
        <row r="771">
          <cell r="A771" t="str">
            <v>JJB65542</v>
          </cell>
          <cell r="B771" t="str">
            <v>深秋88-JJB65542</v>
          </cell>
          <cell r="C771">
            <v>46191</v>
          </cell>
        </row>
        <row r="772">
          <cell r="A772" t="str">
            <v>JLG65547</v>
          </cell>
          <cell r="B772" t="str">
            <v>深秋95-JLG65547</v>
          </cell>
          <cell r="C772">
            <v>46191</v>
          </cell>
        </row>
        <row r="773">
          <cell r="A773" t="str">
            <v>JKG65040</v>
          </cell>
          <cell r="B773" t="str">
            <v>深秋105-JKG65040</v>
          </cell>
          <cell r="C773">
            <v>46191</v>
          </cell>
        </row>
        <row r="774">
          <cell r="A774" t="str">
            <v>JKN65623</v>
          </cell>
          <cell r="B774" t="str">
            <v>深秋117-JKN65623</v>
          </cell>
          <cell r="C774">
            <v>46191</v>
          </cell>
        </row>
        <row r="775">
          <cell r="A775" t="str">
            <v>JTN63948</v>
          </cell>
          <cell r="B775" t="str">
            <v>深秋133-JTN63948</v>
          </cell>
          <cell r="C775">
            <v>46191</v>
          </cell>
        </row>
        <row r="776">
          <cell r="A776" t="str">
            <v>JXG65564</v>
          </cell>
          <cell r="B776" t="str">
            <v>深秋149-JXG65564</v>
          </cell>
          <cell r="C776">
            <v>46191</v>
          </cell>
        </row>
        <row r="777">
          <cell r="A777" t="str">
            <v>JGG65022</v>
          </cell>
          <cell r="B777" t="str">
            <v>深秋72-JGG65022</v>
          </cell>
          <cell r="C777">
            <v>46194</v>
          </cell>
        </row>
        <row r="778">
          <cell r="A778" t="str">
            <v>JGB65840</v>
          </cell>
          <cell r="B778" t="str">
            <v>深秋85-JGB65840</v>
          </cell>
          <cell r="C778">
            <v>46194</v>
          </cell>
        </row>
        <row r="779">
          <cell r="A779" t="str">
            <v>JTB65541</v>
          </cell>
          <cell r="B779" t="str">
            <v>深秋98-JTB65541</v>
          </cell>
          <cell r="C779">
            <v>46194</v>
          </cell>
        </row>
        <row r="780">
          <cell r="A780" t="str">
            <v>JTG65626</v>
          </cell>
          <cell r="B780" t="str">
            <v>深秋120-JTG65626</v>
          </cell>
          <cell r="C780">
            <v>46194</v>
          </cell>
        </row>
        <row r="781">
          <cell r="A781" t="str">
            <v>JJN65837</v>
          </cell>
          <cell r="B781" t="str">
            <v>深秋125-JJN65837</v>
          </cell>
          <cell r="C781">
            <v>46194</v>
          </cell>
        </row>
        <row r="782">
          <cell r="A782" t="str">
            <v>JJN65844</v>
          </cell>
          <cell r="B782" t="str">
            <v>深秋126-JJN65844</v>
          </cell>
          <cell r="C782">
            <v>46194</v>
          </cell>
        </row>
        <row r="783">
          <cell r="A783" t="str">
            <v>JRB65843</v>
          </cell>
          <cell r="B783" t="str">
            <v>深秋130-JRB65843</v>
          </cell>
          <cell r="C783">
            <v>46194</v>
          </cell>
        </row>
        <row r="784">
          <cell r="A784" t="str">
            <v>JGN64512</v>
          </cell>
          <cell r="B784" t="str">
            <v>冬71-JGN64512</v>
          </cell>
          <cell r="C784">
            <v>46194</v>
          </cell>
        </row>
        <row r="785">
          <cell r="A785" t="str">
            <v>JKG64013</v>
          </cell>
          <cell r="B785" t="str">
            <v>冬88-JKG64013</v>
          </cell>
          <cell r="C785">
            <v>46194</v>
          </cell>
        </row>
        <row r="786">
          <cell r="A786" t="str">
            <v>JTG63929</v>
          </cell>
          <cell r="B786" t="str">
            <v>秋581-JTG63929</v>
          </cell>
          <cell r="C786">
            <v>46195</v>
          </cell>
        </row>
        <row r="787">
          <cell r="A787" t="str">
            <v>JKG65038</v>
          </cell>
          <cell r="B787" t="str">
            <v>深秋103-JKG65038</v>
          </cell>
          <cell r="C787">
            <v>46195</v>
          </cell>
        </row>
        <row r="788">
          <cell r="A788" t="str">
            <v>JGG65632</v>
          </cell>
          <cell r="B788" t="str">
            <v>深秋110-JGG65632</v>
          </cell>
          <cell r="C788">
            <v>46195</v>
          </cell>
        </row>
        <row r="789">
          <cell r="A789" t="str">
            <v>JGN65630</v>
          </cell>
          <cell r="B789" t="str">
            <v>深秋111-JGN65630</v>
          </cell>
          <cell r="C789">
            <v>46195</v>
          </cell>
        </row>
        <row r="790">
          <cell r="A790" t="str">
            <v>JJB65841</v>
          </cell>
          <cell r="B790" t="str">
            <v>深秋123-JJB65841</v>
          </cell>
          <cell r="C790">
            <v>46195</v>
          </cell>
        </row>
        <row r="791">
          <cell r="A791" t="str">
            <v>JRG65577</v>
          </cell>
          <cell r="B791" t="str">
            <v>深秋148-JRG65577</v>
          </cell>
          <cell r="C791">
            <v>46195</v>
          </cell>
        </row>
        <row r="792">
          <cell r="A792" t="str">
            <v>JGN65634</v>
          </cell>
          <cell r="B792" t="str">
            <v>深秋151-JGN65634</v>
          </cell>
          <cell r="C792">
            <v>46195</v>
          </cell>
        </row>
        <row r="793">
          <cell r="A793" t="str">
            <v>JMB63941</v>
          </cell>
          <cell r="B793" t="str">
            <v>秋451-JMB63941</v>
          </cell>
          <cell r="C793">
            <v>46195</v>
          </cell>
        </row>
        <row r="794">
          <cell r="A794" t="str">
            <v>JTB65043</v>
          </cell>
          <cell r="B794" t="str">
            <v>深秋108-JTB65043</v>
          </cell>
          <cell r="C794">
            <v>46198</v>
          </cell>
        </row>
        <row r="795">
          <cell r="A795" t="str">
            <v>JXG63939</v>
          </cell>
          <cell r="B795" t="str">
            <v>秋598-JXG63939</v>
          </cell>
          <cell r="C795">
            <v>46198</v>
          </cell>
        </row>
        <row r="796">
          <cell r="A796" t="str">
            <v>JKG63420</v>
          </cell>
          <cell r="B796" t="str">
            <v>秋605-JKG63420</v>
          </cell>
          <cell r="C796">
            <v>46198</v>
          </cell>
        </row>
        <row r="797">
          <cell r="A797" t="str">
            <v>JKN63449</v>
          </cell>
          <cell r="B797" t="str">
            <v>秋606-JKN63449</v>
          </cell>
          <cell r="C797">
            <v>46198</v>
          </cell>
        </row>
        <row r="798">
          <cell r="A798" t="str">
            <v>JXB63329</v>
          </cell>
          <cell r="B798" t="str">
            <v>秋610-JXB63329</v>
          </cell>
          <cell r="C798">
            <v>46198</v>
          </cell>
        </row>
        <row r="799">
          <cell r="A799" t="str">
            <v>JTG65819</v>
          </cell>
          <cell r="B799" t="str">
            <v>深秋47-JTG65819</v>
          </cell>
          <cell r="C799">
            <v>46198</v>
          </cell>
        </row>
        <row r="800">
          <cell r="A800" t="str">
            <v>JKN65027</v>
          </cell>
          <cell r="B800" t="str">
            <v>深秋78-JKN65027</v>
          </cell>
          <cell r="C800">
            <v>46198</v>
          </cell>
        </row>
        <row r="801">
          <cell r="A801" t="str">
            <v>JKB65545</v>
          </cell>
          <cell r="B801" t="str">
            <v>深秋91-JKB65545</v>
          </cell>
          <cell r="C801">
            <v>46198</v>
          </cell>
        </row>
        <row r="802">
          <cell r="A802" t="str">
            <v>JKG65546</v>
          </cell>
          <cell r="B802" t="str">
            <v>深秋93-JKG65546</v>
          </cell>
          <cell r="C802">
            <v>46198</v>
          </cell>
        </row>
        <row r="803">
          <cell r="A803" t="str">
            <v>JKG65550</v>
          </cell>
          <cell r="B803" t="str">
            <v>深秋94-JKG65550</v>
          </cell>
          <cell r="C803">
            <v>46198</v>
          </cell>
        </row>
        <row r="804">
          <cell r="A804" t="str">
            <v>JLG65049</v>
          </cell>
          <cell r="B804" t="str">
            <v>深秋107-JLG65049</v>
          </cell>
          <cell r="C804">
            <v>46198</v>
          </cell>
        </row>
        <row r="805">
          <cell r="A805" t="str">
            <v>JJG64008</v>
          </cell>
          <cell r="B805" t="str">
            <v>冬48-JJG64008</v>
          </cell>
          <cell r="C805">
            <v>46199</v>
          </cell>
        </row>
        <row r="806">
          <cell r="A806" t="str">
            <v>JVG64874</v>
          </cell>
          <cell r="B806" t="str">
            <v>冬106-JVG64874</v>
          </cell>
          <cell r="C806">
            <v>46199</v>
          </cell>
        </row>
        <row r="807">
          <cell r="A807" t="str">
            <v>JCG63448</v>
          </cell>
          <cell r="B807" t="str">
            <v>秋458-JCG63448</v>
          </cell>
          <cell r="C807">
            <v>46199</v>
          </cell>
        </row>
        <row r="808">
          <cell r="A808" t="str">
            <v>JLN63328</v>
          </cell>
          <cell r="B808" t="str">
            <v>秋607-JLN63328</v>
          </cell>
          <cell r="C808">
            <v>46199</v>
          </cell>
        </row>
        <row r="809">
          <cell r="A809" t="str">
            <v>JTG63327</v>
          </cell>
          <cell r="B809" t="str">
            <v>秋609-JTG63327</v>
          </cell>
          <cell r="C809">
            <v>46199</v>
          </cell>
        </row>
        <row r="810">
          <cell r="A810" t="str">
            <v>JXB63942</v>
          </cell>
          <cell r="B810" t="str">
            <v>秋612-JXB63942</v>
          </cell>
          <cell r="C810">
            <v>46199</v>
          </cell>
        </row>
        <row r="811">
          <cell r="A811" t="str">
            <v>JCG63943</v>
          </cell>
          <cell r="B811" t="str">
            <v>秋613-JCG63943</v>
          </cell>
          <cell r="C811">
            <v>46199</v>
          </cell>
        </row>
        <row r="812">
          <cell r="A812" t="str">
            <v>JTG63127</v>
          </cell>
          <cell r="B812" t="str">
            <v>秋614-JTG63127</v>
          </cell>
          <cell r="C812">
            <v>46199</v>
          </cell>
        </row>
        <row r="813">
          <cell r="A813" t="str">
            <v>JJG65528</v>
          </cell>
          <cell r="B813" t="str">
            <v>深秋53-JJG65528</v>
          </cell>
          <cell r="C813">
            <v>46199</v>
          </cell>
        </row>
        <row r="814">
          <cell r="A814" t="str">
            <v>JKG65608</v>
          </cell>
          <cell r="B814" t="str">
            <v>深秋65-JKG65608</v>
          </cell>
          <cell r="C814">
            <v>46199</v>
          </cell>
        </row>
        <row r="815">
          <cell r="A815" t="str">
            <v>JLB65044</v>
          </cell>
          <cell r="B815" t="str">
            <v>深秋106-JLB65044</v>
          </cell>
          <cell r="C815">
            <v>46199</v>
          </cell>
        </row>
        <row r="816">
          <cell r="A816" t="str">
            <v>JJN65628</v>
          </cell>
          <cell r="B816" t="str">
            <v>深秋113-JJN65628</v>
          </cell>
          <cell r="C816">
            <v>46199</v>
          </cell>
        </row>
        <row r="817">
          <cell r="A817" t="str">
            <v>JKG65620</v>
          </cell>
          <cell r="B817" t="str">
            <v>深秋115-JKG65620</v>
          </cell>
          <cell r="C817">
            <v>46199</v>
          </cell>
        </row>
        <row r="818">
          <cell r="A818" t="str">
            <v>JXN65829</v>
          </cell>
          <cell r="B818" t="str">
            <v>深秋134-JXN65829</v>
          </cell>
          <cell r="C818">
            <v>46199</v>
          </cell>
        </row>
        <row r="819">
          <cell r="A819" t="str">
            <v>JDG65568</v>
          </cell>
          <cell r="B819" t="str">
            <v>深秋136-JDG65568</v>
          </cell>
          <cell r="C819">
            <v>46199</v>
          </cell>
        </row>
        <row r="820">
          <cell r="A820" t="str">
            <v>JKG65573</v>
          </cell>
          <cell r="B820" t="str">
            <v>深秋141-JKG65573</v>
          </cell>
          <cell r="C820">
            <v>46199</v>
          </cell>
        </row>
        <row r="821">
          <cell r="A821" t="str">
            <v>JMN63128</v>
          </cell>
          <cell r="B821" t="str">
            <v>秋615-JMN63128</v>
          </cell>
          <cell r="C821">
            <v>46200</v>
          </cell>
        </row>
        <row r="822">
          <cell r="A822" t="str">
            <v>JMG65519</v>
          </cell>
          <cell r="B822" t="str">
            <v>深秋57-JMG65519</v>
          </cell>
          <cell r="C822">
            <v>46200</v>
          </cell>
        </row>
        <row r="823">
          <cell r="A823" t="str">
            <v>JMB65828</v>
          </cell>
          <cell r="B823" t="str">
            <v>深秋84-JMB65828</v>
          </cell>
          <cell r="C823">
            <v>46200</v>
          </cell>
        </row>
        <row r="824">
          <cell r="A824" t="str">
            <v>JKG65053</v>
          </cell>
          <cell r="B824" t="str">
            <v>深秋92-JKG65053</v>
          </cell>
          <cell r="C824">
            <v>46200</v>
          </cell>
        </row>
        <row r="825">
          <cell r="A825" t="str">
            <v>JMG65041</v>
          </cell>
          <cell r="B825" t="str">
            <v>深秋109-JMG65041</v>
          </cell>
          <cell r="C825">
            <v>46200</v>
          </cell>
        </row>
        <row r="826">
          <cell r="A826" t="str">
            <v>JJN65627</v>
          </cell>
          <cell r="B826" t="str">
            <v>深秋112-JJN65627</v>
          </cell>
          <cell r="C826">
            <v>46200</v>
          </cell>
        </row>
        <row r="827">
          <cell r="A827" t="str">
            <v>JKG65621</v>
          </cell>
          <cell r="B827" t="str">
            <v>深秋116-JKG65621</v>
          </cell>
          <cell r="C827">
            <v>46200</v>
          </cell>
        </row>
        <row r="828">
          <cell r="A828" t="str">
            <v>JJG65849</v>
          </cell>
          <cell r="B828" t="str">
            <v>深秋124-JJG65849</v>
          </cell>
          <cell r="C828">
            <v>46200</v>
          </cell>
        </row>
        <row r="829">
          <cell r="A829" t="str">
            <v>JKG65851</v>
          </cell>
          <cell r="B829" t="str">
            <v>深秋127-JKG65851</v>
          </cell>
          <cell r="C829">
            <v>46200</v>
          </cell>
        </row>
        <row r="830">
          <cell r="A830" t="str">
            <v>JQG65846</v>
          </cell>
          <cell r="B830" t="str">
            <v>深秋129-JQG65846</v>
          </cell>
          <cell r="C830">
            <v>46200</v>
          </cell>
        </row>
        <row r="831">
          <cell r="A831" t="str">
            <v>JRG63947</v>
          </cell>
          <cell r="B831" t="str">
            <v>深秋131-JRG63947</v>
          </cell>
          <cell r="C831">
            <v>46200</v>
          </cell>
        </row>
        <row r="832">
          <cell r="A832" t="str">
            <v>JLG65642</v>
          </cell>
          <cell r="B832" t="str">
            <v>深秋154-JLG65642</v>
          </cell>
          <cell r="C832">
            <v>46200</v>
          </cell>
        </row>
        <row r="833">
          <cell r="A833" t="str">
            <v>JXB65051</v>
          </cell>
          <cell r="B833" t="str">
            <v>深秋160-JXB65051</v>
          </cell>
          <cell r="C833">
            <v>46200</v>
          </cell>
        </row>
        <row r="834">
          <cell r="A834" t="str">
            <v>JRG63928</v>
          </cell>
          <cell r="B834" t="str">
            <v>秋580-JRG63928</v>
          </cell>
          <cell r="C834">
            <v>46200</v>
          </cell>
        </row>
        <row r="835">
          <cell r="A835" t="str">
            <v>JKG64875</v>
          </cell>
          <cell r="B835" t="str">
            <v>冬105-JKG64875</v>
          </cell>
          <cell r="C835">
            <v>46201</v>
          </cell>
        </row>
        <row r="836">
          <cell r="A836" t="str">
            <v>JJB64516</v>
          </cell>
          <cell r="B836" t="str">
            <v>冬107-JJB64516</v>
          </cell>
          <cell r="C836">
            <v>46201</v>
          </cell>
        </row>
        <row r="837">
          <cell r="A837" t="str">
            <v>JTG63935</v>
          </cell>
          <cell r="B837" t="str">
            <v>秋591-JTG63935</v>
          </cell>
          <cell r="C837">
            <v>46201</v>
          </cell>
        </row>
        <row r="838">
          <cell r="A838" t="str">
            <v>JXG63332</v>
          </cell>
          <cell r="B838" t="str">
            <v>秋604-JXG63332</v>
          </cell>
          <cell r="C838">
            <v>46201</v>
          </cell>
        </row>
        <row r="839">
          <cell r="A839" t="str">
            <v>JJN63325</v>
          </cell>
          <cell r="B839" t="str">
            <v>秋611-JJN63325</v>
          </cell>
          <cell r="C839">
            <v>46201</v>
          </cell>
        </row>
        <row r="840">
          <cell r="A840" t="str">
            <v>JJB65042</v>
          </cell>
          <cell r="B840" t="str">
            <v>深秋100-JJB65042</v>
          </cell>
          <cell r="C840">
            <v>46201</v>
          </cell>
        </row>
        <row r="841">
          <cell r="A841" t="str">
            <v>JHB65575</v>
          </cell>
          <cell r="B841" t="str">
            <v>深秋137-JHB65575</v>
          </cell>
          <cell r="C841">
            <v>46201</v>
          </cell>
        </row>
        <row r="842">
          <cell r="A842" t="str">
            <v>JJG65572</v>
          </cell>
          <cell r="B842" t="str">
            <v>深秋139-JJG65572</v>
          </cell>
          <cell r="C842">
            <v>46201</v>
          </cell>
        </row>
        <row r="843">
          <cell r="A843" t="str">
            <v>JKB65641</v>
          </cell>
          <cell r="B843" t="str">
            <v>深秋152-JKB65641</v>
          </cell>
          <cell r="C843">
            <v>46201</v>
          </cell>
        </row>
        <row r="844">
          <cell r="A844" t="str">
            <v>JQG63937</v>
          </cell>
          <cell r="B844" t="str">
            <v>秋588-JQG63937</v>
          </cell>
          <cell r="C844">
            <v>46202</v>
          </cell>
        </row>
        <row r="845">
          <cell r="A845" t="str">
            <v>JTB63326</v>
          </cell>
          <cell r="B845" t="str">
            <v>秋608-JTB63326</v>
          </cell>
          <cell r="C845">
            <v>46202</v>
          </cell>
        </row>
        <row r="846">
          <cell r="A846" t="str">
            <v>JTG63945</v>
          </cell>
          <cell r="B846" t="str">
            <v>秋617-JTG63945</v>
          </cell>
          <cell r="C846">
            <v>46202</v>
          </cell>
        </row>
        <row r="847">
          <cell r="A847" t="str">
            <v>JGG65853</v>
          </cell>
          <cell r="B847" t="str">
            <v>深秋121-JGG65853</v>
          </cell>
          <cell r="C847">
            <v>46202</v>
          </cell>
        </row>
        <row r="848">
          <cell r="A848" t="str">
            <v>JGN65848</v>
          </cell>
          <cell r="B848" t="str">
            <v>深秋122-JGN65848</v>
          </cell>
          <cell r="C848">
            <v>46202</v>
          </cell>
        </row>
        <row r="849">
          <cell r="A849" t="str">
            <v>JTB65057</v>
          </cell>
          <cell r="B849" t="str">
            <v>深秋159-JTB65057</v>
          </cell>
          <cell r="C849">
            <v>46202</v>
          </cell>
        </row>
        <row r="850">
          <cell r="A850" t="str">
            <v>JXN65502</v>
          </cell>
          <cell r="B850" t="str">
            <v>深秋172-JXN65502</v>
          </cell>
          <cell r="C850">
            <v>46202</v>
          </cell>
        </row>
        <row r="851">
          <cell r="A851" t="str">
            <v>JKB64019</v>
          </cell>
          <cell r="B851" t="str">
            <v>冬116-JKB64019</v>
          </cell>
          <cell r="C851">
            <v>46202</v>
          </cell>
        </row>
        <row r="852">
          <cell r="A852" t="str">
            <v>JQG63915</v>
          </cell>
          <cell r="B852" t="str">
            <v>秋538-JQG63915</v>
          </cell>
          <cell r="C852">
            <v>46202</v>
          </cell>
        </row>
        <row r="853">
          <cell r="A853" t="str">
            <v>JJG63936</v>
          </cell>
          <cell r="B853" t="str">
            <v>秋586-JJG63936</v>
          </cell>
          <cell r="C853">
            <v>46202</v>
          </cell>
        </row>
        <row r="854">
          <cell r="A854" t="str">
            <v>JLG65643</v>
          </cell>
          <cell r="B854" t="str">
            <v>深秋155-JLG65643</v>
          </cell>
          <cell r="C854">
            <v>46203</v>
          </cell>
        </row>
        <row r="855">
          <cell r="A855" t="str">
            <v>JXG65635</v>
          </cell>
          <cell r="B855" t="str">
            <v>深秋158-JXG65635</v>
          </cell>
          <cell r="C855">
            <v>46203</v>
          </cell>
        </row>
        <row r="856">
          <cell r="A856" t="str">
            <v>JNG65586</v>
          </cell>
          <cell r="B856" t="str">
            <v>深秋171-JNG65586</v>
          </cell>
          <cell r="C856">
            <v>46203</v>
          </cell>
        </row>
        <row r="857">
          <cell r="A857" t="str">
            <v>JYN64810</v>
          </cell>
          <cell r="B857" t="str">
            <v>冬4-JYN64810</v>
          </cell>
          <cell r="C857">
            <v>46203</v>
          </cell>
        </row>
        <row r="858">
          <cell r="A858" t="str">
            <v>JAG64816</v>
          </cell>
          <cell r="B858" t="str">
            <v>冬10-JAG64816</v>
          </cell>
          <cell r="C858">
            <v>46203</v>
          </cell>
        </row>
        <row r="859">
          <cell r="A859" t="str">
            <v>JYG64823</v>
          </cell>
          <cell r="B859" t="str">
            <v>冬19-JYG64823</v>
          </cell>
          <cell r="C859">
            <v>46203</v>
          </cell>
        </row>
        <row r="860">
          <cell r="A860" t="str">
            <v>JYG64851</v>
          </cell>
          <cell r="B860" t="str">
            <v>冬52-JYG64851</v>
          </cell>
          <cell r="C860">
            <v>46203</v>
          </cell>
        </row>
        <row r="861">
          <cell r="A861" t="str">
            <v>JJG64012</v>
          </cell>
          <cell r="B861" t="str">
            <v>冬81-JJG64012</v>
          </cell>
          <cell r="C861">
            <v>46203</v>
          </cell>
        </row>
        <row r="862">
          <cell r="A862" t="str">
            <v>JJG64612</v>
          </cell>
          <cell r="B862" t="str">
            <v>冬94-JJG64612</v>
          </cell>
          <cell r="C862">
            <v>46203</v>
          </cell>
        </row>
        <row r="863">
          <cell r="A863" t="str">
            <v>JJN64611</v>
          </cell>
          <cell r="B863" t="str">
            <v>冬95-JJN64611</v>
          </cell>
          <cell r="C863">
            <v>46203</v>
          </cell>
        </row>
        <row r="864">
          <cell r="A864" t="str">
            <v>JKG64614</v>
          </cell>
          <cell r="B864" t="str">
            <v>冬96-JKG64614</v>
          </cell>
          <cell r="C864">
            <v>46203</v>
          </cell>
        </row>
        <row r="865">
          <cell r="A865" t="str">
            <v>JGG64868</v>
          </cell>
          <cell r="B865" t="str">
            <v>冬97-JGG64868</v>
          </cell>
          <cell r="C865">
            <v>46203</v>
          </cell>
        </row>
        <row r="866">
          <cell r="A866" t="str">
            <v>JHB64867</v>
          </cell>
          <cell r="B866" t="str">
            <v>冬98-JHB64867</v>
          </cell>
          <cell r="C866">
            <v>46203</v>
          </cell>
        </row>
        <row r="867">
          <cell r="A867" t="str">
            <v>JJG64871</v>
          </cell>
          <cell r="B867" t="str">
            <v>冬101-JJG64871</v>
          </cell>
          <cell r="C867">
            <v>46203</v>
          </cell>
        </row>
        <row r="868">
          <cell r="A868" t="str">
            <v>JYG64843</v>
          </cell>
          <cell r="B868" t="str">
            <v>冬133-JYG64843</v>
          </cell>
          <cell r="C868">
            <v>46203</v>
          </cell>
        </row>
        <row r="869">
          <cell r="A869" t="str">
            <v>JYG64844</v>
          </cell>
          <cell r="B869" t="str">
            <v>冬134-JYG64844</v>
          </cell>
          <cell r="C869">
            <v>46203</v>
          </cell>
        </row>
        <row r="870">
          <cell r="A870" t="str">
            <v>JHG63129</v>
          </cell>
          <cell r="B870" t="str">
            <v>秋616-JHG63129</v>
          </cell>
          <cell r="C870">
            <v>46203</v>
          </cell>
        </row>
        <row r="871">
          <cell r="A871" t="str">
            <v>JJG65030</v>
          </cell>
          <cell r="B871" t="str">
            <v>深秋73-JJG65030</v>
          </cell>
          <cell r="C871">
            <v>46203</v>
          </cell>
        </row>
        <row r="872">
          <cell r="A872" t="str">
            <v>JXG65835</v>
          </cell>
          <cell r="B872" t="str">
            <v>深秋87-JXG65835</v>
          </cell>
          <cell r="C872">
            <v>46203</v>
          </cell>
        </row>
        <row r="873">
          <cell r="A873" t="str">
            <v>JJG65048</v>
          </cell>
          <cell r="B873" t="str">
            <v>深秋101-JJG65048</v>
          </cell>
          <cell r="C873">
            <v>46203</v>
          </cell>
        </row>
        <row r="874">
          <cell r="A874" t="str">
            <v>JKB65571</v>
          </cell>
          <cell r="B874" t="str">
            <v>深秋140-JKB65571</v>
          </cell>
          <cell r="C874">
            <v>46203</v>
          </cell>
        </row>
        <row r="875">
          <cell r="A875" t="str">
            <v>JQG65576</v>
          </cell>
          <cell r="B875" t="str">
            <v>深秋146-JQG65576</v>
          </cell>
          <cell r="C875">
            <v>46203</v>
          </cell>
        </row>
        <row r="876">
          <cell r="A876" t="str">
            <v>JXG65566</v>
          </cell>
          <cell r="B876" t="str">
            <v>深秋151-JXG65566</v>
          </cell>
          <cell r="C876">
            <v>46203</v>
          </cell>
        </row>
        <row r="877">
          <cell r="A877" t="str">
            <v>JKN64018</v>
          </cell>
          <cell r="B877" t="str">
            <v>冬117-JKN64018</v>
          </cell>
          <cell r="C877">
            <v>46205</v>
          </cell>
        </row>
        <row r="878">
          <cell r="A878" t="str">
            <v>JJG64519</v>
          </cell>
          <cell r="B878" t="str">
            <v>冬120-JJG64519</v>
          </cell>
          <cell r="C878">
            <v>46205</v>
          </cell>
        </row>
        <row r="879">
          <cell r="A879" t="str">
            <v>JKN65569</v>
          </cell>
          <cell r="B879" t="str">
            <v>深秋144-JKN65569</v>
          </cell>
          <cell r="C879">
            <v>46205</v>
          </cell>
        </row>
        <row r="880">
          <cell r="A880" t="str">
            <v>JXB65056</v>
          </cell>
          <cell r="B880" t="str">
            <v>深秋161-JXB65056</v>
          </cell>
          <cell r="C880">
            <v>46205</v>
          </cell>
        </row>
        <row r="881">
          <cell r="A881" t="str">
            <v>JHN65581</v>
          </cell>
          <cell r="B881" t="str">
            <v>深秋164-JHN65581</v>
          </cell>
          <cell r="C881">
            <v>46205</v>
          </cell>
        </row>
        <row r="882">
          <cell r="A882" t="str">
            <v>JJN65559</v>
          </cell>
          <cell r="B882" t="str">
            <v>深秋166-JJN65559</v>
          </cell>
          <cell r="C882">
            <v>46205</v>
          </cell>
        </row>
        <row r="883">
          <cell r="A883" t="str">
            <v>JZN65561</v>
          </cell>
          <cell r="B883" t="str">
            <v>深秋174-JZN65561</v>
          </cell>
          <cell r="C883">
            <v>46205</v>
          </cell>
        </row>
        <row r="884">
          <cell r="A884" t="str">
            <v>JRG65657</v>
          </cell>
          <cell r="B884" t="str">
            <v>深秋203-JRG65657</v>
          </cell>
          <cell r="C884">
            <v>46205</v>
          </cell>
        </row>
        <row r="885">
          <cell r="A885" t="str">
            <v>JRN65658</v>
          </cell>
          <cell r="B885" t="str">
            <v>深秋205-JRN65658</v>
          </cell>
          <cell r="C885">
            <v>46205</v>
          </cell>
        </row>
        <row r="886">
          <cell r="A886" t="str">
            <v>JXB65655</v>
          </cell>
          <cell r="B886" t="str">
            <v>深秋208-JXB65655</v>
          </cell>
          <cell r="C886">
            <v>46205</v>
          </cell>
        </row>
        <row r="887">
          <cell r="A887" t="str">
            <v>JXG65654</v>
          </cell>
          <cell r="B887" t="str">
            <v>深秋211-JXG65654</v>
          </cell>
          <cell r="C887">
            <v>46205</v>
          </cell>
        </row>
        <row r="888">
          <cell r="A888" t="str">
            <v>JRB65868</v>
          </cell>
          <cell r="B888" t="str">
            <v>深秋223-JRB65868</v>
          </cell>
          <cell r="C888">
            <v>46205</v>
          </cell>
        </row>
        <row r="889">
          <cell r="A889" t="str">
            <v>JJG64872</v>
          </cell>
          <cell r="B889" t="str">
            <v>冬102-JJG64872</v>
          </cell>
          <cell r="C889">
            <v>46205</v>
          </cell>
        </row>
        <row r="890">
          <cell r="A890" t="str">
            <v>JJG64518</v>
          </cell>
          <cell r="B890" t="str">
            <v>冬119-JJG64518</v>
          </cell>
          <cell r="C890">
            <v>46206</v>
          </cell>
        </row>
        <row r="891">
          <cell r="A891" t="str">
            <v>JDG65037</v>
          </cell>
          <cell r="B891" t="str">
            <v>深秋99-JDG65037</v>
          </cell>
          <cell r="C891">
            <v>46206</v>
          </cell>
        </row>
        <row r="892">
          <cell r="A892" t="str">
            <v>JTG65624</v>
          </cell>
          <cell r="B892" t="str">
            <v>深秋119-JTG65624</v>
          </cell>
          <cell r="C892">
            <v>46206</v>
          </cell>
        </row>
        <row r="893">
          <cell r="A893" t="str">
            <v>JMB65558</v>
          </cell>
          <cell r="B893" t="str">
            <v>深秋168-JMB65558</v>
          </cell>
          <cell r="C893">
            <v>46206</v>
          </cell>
        </row>
        <row r="894">
          <cell r="A894" t="str">
            <v>JMG65517</v>
          </cell>
          <cell r="B894" t="str">
            <v>深秋169-JMG65517</v>
          </cell>
          <cell r="C894">
            <v>46206</v>
          </cell>
        </row>
        <row r="895">
          <cell r="A895" t="str">
            <v>JMG65535</v>
          </cell>
          <cell r="B895" t="str">
            <v>深秋170-JMG65535</v>
          </cell>
          <cell r="C895">
            <v>46206</v>
          </cell>
        </row>
        <row r="896">
          <cell r="A896" t="str">
            <v>JZG65585</v>
          </cell>
          <cell r="B896" t="str">
            <v>深秋173-JZG65585</v>
          </cell>
          <cell r="C896">
            <v>46206</v>
          </cell>
        </row>
        <row r="897">
          <cell r="A897" t="str">
            <v>JRG65593</v>
          </cell>
          <cell r="B897" t="str">
            <v>深秋181-JRG65593</v>
          </cell>
          <cell r="C897">
            <v>46206</v>
          </cell>
        </row>
        <row r="898">
          <cell r="A898" t="str">
            <v>JRB65648</v>
          </cell>
          <cell r="B898" t="str">
            <v>深秋200-JRB65648</v>
          </cell>
          <cell r="C898">
            <v>46206</v>
          </cell>
        </row>
        <row r="899">
          <cell r="A899" t="str">
            <v>JRG65646</v>
          </cell>
          <cell r="B899" t="str">
            <v>深秋201-JRG65646</v>
          </cell>
          <cell r="C899">
            <v>46206</v>
          </cell>
        </row>
        <row r="900">
          <cell r="A900" t="str">
            <v>JRN65647</v>
          </cell>
          <cell r="B900" t="str">
            <v>深秋204-JRN65647</v>
          </cell>
          <cell r="C900">
            <v>46206</v>
          </cell>
        </row>
        <row r="901">
          <cell r="A901" t="str">
            <v>JXG65645</v>
          </cell>
          <cell r="B901" t="str">
            <v>深秋210-JXG65645</v>
          </cell>
          <cell r="C901">
            <v>46206</v>
          </cell>
        </row>
        <row r="902">
          <cell r="A902" t="str">
            <v>JJG64514</v>
          </cell>
          <cell r="B902" t="str">
            <v>冬73-JJG64514</v>
          </cell>
          <cell r="C902">
            <v>46206</v>
          </cell>
        </row>
        <row r="903">
          <cell r="A903" t="str">
            <v>JKG64617</v>
          </cell>
          <cell r="B903" t="str">
            <v>冬111-JKG64617</v>
          </cell>
          <cell r="C903">
            <v>46206</v>
          </cell>
        </row>
        <row r="904">
          <cell r="A904" t="str">
            <v>JKG64520</v>
          </cell>
          <cell r="B904" t="str">
            <v>冬121-JKG64520</v>
          </cell>
          <cell r="C904">
            <v>46207</v>
          </cell>
        </row>
        <row r="905">
          <cell r="A905" t="str">
            <v>JKN64521</v>
          </cell>
          <cell r="B905" t="str">
            <v>冬122-JKN64521</v>
          </cell>
          <cell r="C905">
            <v>46207</v>
          </cell>
        </row>
        <row r="906">
          <cell r="A906" t="str">
            <v>JHN65574</v>
          </cell>
          <cell r="B906" t="str">
            <v>深秋138-JHN65574</v>
          </cell>
          <cell r="C906">
            <v>46207</v>
          </cell>
        </row>
        <row r="907">
          <cell r="A907" t="str">
            <v>JKN65570</v>
          </cell>
          <cell r="B907" t="str">
            <v>深秋145-JKN65570</v>
          </cell>
          <cell r="C907">
            <v>46207</v>
          </cell>
        </row>
        <row r="908">
          <cell r="A908" t="str">
            <v>JKG65591</v>
          </cell>
          <cell r="B908" t="str">
            <v>深秋180-JKG65591</v>
          </cell>
          <cell r="C908">
            <v>46207</v>
          </cell>
        </row>
        <row r="909">
          <cell r="A909" t="str">
            <v>JKG65073</v>
          </cell>
          <cell r="B909" t="str">
            <v>深秋187-JKG65073</v>
          </cell>
          <cell r="C909">
            <v>46207</v>
          </cell>
        </row>
        <row r="910">
          <cell r="A910" t="str">
            <v>JXG65070</v>
          </cell>
          <cell r="B910" t="str">
            <v>深秋195-JXG65070</v>
          </cell>
          <cell r="C910">
            <v>46207</v>
          </cell>
        </row>
        <row r="911">
          <cell r="A911" t="str">
            <v>JKN65649</v>
          </cell>
          <cell r="B911" t="str">
            <v>深秋197-JKN65649</v>
          </cell>
          <cell r="C911">
            <v>46207</v>
          </cell>
        </row>
        <row r="912">
          <cell r="A912" t="str">
            <v>JKN65662</v>
          </cell>
          <cell r="B912" t="str">
            <v>深秋199-JKN65662</v>
          </cell>
          <cell r="C912">
            <v>46207</v>
          </cell>
        </row>
        <row r="913">
          <cell r="A913" t="str">
            <v>JKN65463</v>
          </cell>
          <cell r="B913" t="str">
            <v>深秋221-JKN65463</v>
          </cell>
          <cell r="C913">
            <v>46207</v>
          </cell>
        </row>
        <row r="914">
          <cell r="A914" t="str">
            <v>JJN64865</v>
          </cell>
          <cell r="B914" t="str">
            <v>冬104-JJN64865</v>
          </cell>
          <cell r="C914">
            <v>46207</v>
          </cell>
        </row>
        <row r="915">
          <cell r="A915" t="str">
            <v>JJB64616</v>
          </cell>
          <cell r="B915" t="str">
            <v>冬110-JJB64616</v>
          </cell>
          <cell r="C915">
            <v>46207</v>
          </cell>
        </row>
        <row r="916">
          <cell r="A916" t="str">
            <v>JKN64020</v>
          </cell>
          <cell r="B916" t="str">
            <v>冬118-JKN64020</v>
          </cell>
          <cell r="C916">
            <v>46207</v>
          </cell>
        </row>
        <row r="917">
          <cell r="A917" t="str">
            <v>JKN64522</v>
          </cell>
          <cell r="B917" t="str">
            <v>冬123-JKN64522</v>
          </cell>
          <cell r="C917">
            <v>46208</v>
          </cell>
        </row>
        <row r="918">
          <cell r="A918" t="str">
            <v>JGG64620</v>
          </cell>
          <cell r="B918" t="str">
            <v>冬127-JGG64620</v>
          </cell>
          <cell r="C918">
            <v>46208</v>
          </cell>
        </row>
        <row r="919">
          <cell r="A919" t="str">
            <v>JHN65560</v>
          </cell>
          <cell r="B919" t="str">
            <v>深秋163-JHN65560</v>
          </cell>
          <cell r="C919">
            <v>46208</v>
          </cell>
        </row>
        <row r="920">
          <cell r="A920" t="str">
            <v>JLG65587</v>
          </cell>
          <cell r="B920" t="str">
            <v>深秋167-JLG65587</v>
          </cell>
          <cell r="C920">
            <v>46208</v>
          </cell>
        </row>
        <row r="921">
          <cell r="A921" t="str">
            <v>JZN65582</v>
          </cell>
          <cell r="B921" t="str">
            <v>深秋175-JZN65582</v>
          </cell>
          <cell r="C921">
            <v>46208</v>
          </cell>
        </row>
        <row r="922">
          <cell r="A922" t="str">
            <v>JJN65592</v>
          </cell>
          <cell r="B922" t="str">
            <v>深秋178-JJN65592</v>
          </cell>
          <cell r="C922">
            <v>46208</v>
          </cell>
        </row>
        <row r="923">
          <cell r="A923" t="str">
            <v>JKG65080</v>
          </cell>
          <cell r="B923" t="str">
            <v>深秋188-JKG65080</v>
          </cell>
          <cell r="C923">
            <v>46208</v>
          </cell>
        </row>
        <row r="924">
          <cell r="A924" t="str">
            <v>JTN65663</v>
          </cell>
          <cell r="B924" t="str">
            <v>深秋207-JTN65663</v>
          </cell>
          <cell r="C924">
            <v>46208</v>
          </cell>
        </row>
        <row r="925">
          <cell r="A925" t="str">
            <v>JLG65617</v>
          </cell>
          <cell r="B925" t="str">
            <v>深秋212-JLG65617</v>
          </cell>
          <cell r="C925">
            <v>46208</v>
          </cell>
        </row>
        <row r="926">
          <cell r="A926" t="str">
            <v>JJG64517</v>
          </cell>
          <cell r="B926" t="str">
            <v>冬08-JJG64517</v>
          </cell>
          <cell r="C926">
            <v>46208</v>
          </cell>
        </row>
        <row r="927">
          <cell r="A927" t="str">
            <v>JAG64869</v>
          </cell>
          <cell r="B927" t="str">
            <v>冬83-JAG64869</v>
          </cell>
          <cell r="C927">
            <v>46208</v>
          </cell>
        </row>
        <row r="928">
          <cell r="A928" t="str">
            <v>JJG64866</v>
          </cell>
          <cell r="B928" t="str">
            <v>冬99-JJG64866</v>
          </cell>
          <cell r="C928">
            <v>46208</v>
          </cell>
        </row>
        <row r="929">
          <cell r="A929" t="str">
            <v>JJG64873</v>
          </cell>
          <cell r="B929" t="str">
            <v>冬103-JJG64873</v>
          </cell>
          <cell r="C929">
            <v>46208</v>
          </cell>
        </row>
        <row r="930">
          <cell r="A930" t="str">
            <v>JHG65518</v>
          </cell>
          <cell r="B930" t="str">
            <v>深秋215-JHG65518</v>
          </cell>
          <cell r="C930">
            <v>46209</v>
          </cell>
        </row>
        <row r="931">
          <cell r="A931" t="str">
            <v>JHN65552</v>
          </cell>
          <cell r="B931" t="str">
            <v>深秋216-JHN65552</v>
          </cell>
          <cell r="C931">
            <v>46209</v>
          </cell>
        </row>
        <row r="932">
          <cell r="A932" t="str">
            <v>JMG65557</v>
          </cell>
          <cell r="B932" t="str">
            <v>深秋224-JMG65557</v>
          </cell>
          <cell r="C932">
            <v>46209</v>
          </cell>
        </row>
        <row r="933">
          <cell r="A933" t="str">
            <v>JMG65578</v>
          </cell>
          <cell r="B933" t="str">
            <v>深秋225-JMG65578</v>
          </cell>
          <cell r="C933">
            <v>46209</v>
          </cell>
        </row>
        <row r="934">
          <cell r="A934" t="str">
            <v>JMN65579</v>
          </cell>
          <cell r="B934" t="str">
            <v>深秋226-JMN65579</v>
          </cell>
          <cell r="C934">
            <v>46209</v>
          </cell>
        </row>
        <row r="935">
          <cell r="A935" t="str">
            <v>JYG64852</v>
          </cell>
          <cell r="B935" t="str">
            <v>冬53-JYG64852</v>
          </cell>
          <cell r="C935">
            <v>46209</v>
          </cell>
        </row>
        <row r="936">
          <cell r="A936" t="str">
            <v>JYG64863</v>
          </cell>
          <cell r="B936" t="str">
            <v>冬86-JYG64863</v>
          </cell>
          <cell r="C936">
            <v>46209</v>
          </cell>
        </row>
        <row r="937">
          <cell r="A937" t="str">
            <v>JYG64839</v>
          </cell>
          <cell r="B937" t="str">
            <v>冬139-JYG64839</v>
          </cell>
          <cell r="C937">
            <v>46209</v>
          </cell>
        </row>
        <row r="938">
          <cell r="A938" t="str">
            <v>JMN63401</v>
          </cell>
          <cell r="B938" t="str">
            <v>秋618-JMN63401</v>
          </cell>
          <cell r="C938">
            <v>46209</v>
          </cell>
        </row>
        <row r="939">
          <cell r="A939" t="str">
            <v>JHN65551</v>
          </cell>
          <cell r="B939" t="str">
            <v>深秋177-JHN65551</v>
          </cell>
          <cell r="C939">
            <v>46209</v>
          </cell>
        </row>
        <row r="940">
          <cell r="A940" t="str">
            <v>JMG65845</v>
          </cell>
          <cell r="B940" t="str">
            <v>深秋128-JMG65845</v>
          </cell>
          <cell r="C940">
            <v>46210</v>
          </cell>
        </row>
        <row r="941">
          <cell r="A941" t="str">
            <v>JXN65673</v>
          </cell>
          <cell r="B941" t="str">
            <v>深秋251-JXN65673</v>
          </cell>
          <cell r="C941">
            <v>46211</v>
          </cell>
        </row>
        <row r="942">
          <cell r="A942" t="str">
            <v>JDG65097</v>
          </cell>
          <cell r="B942" t="str">
            <v>深秋266-JDG65097</v>
          </cell>
          <cell r="C942">
            <v>46211</v>
          </cell>
        </row>
        <row r="943">
          <cell r="A943" t="str">
            <v>JJN64015</v>
          </cell>
          <cell r="B943" t="str">
            <v>冬114-JJN64015</v>
          </cell>
          <cell r="C943">
            <v>46211</v>
          </cell>
        </row>
        <row r="944">
          <cell r="A944" t="str">
            <v>JKB65544</v>
          </cell>
          <cell r="B944" t="str">
            <v>深秋90-JKB65544</v>
          </cell>
          <cell r="C944">
            <v>46211</v>
          </cell>
        </row>
        <row r="945">
          <cell r="A945" t="str">
            <v>JJG65584</v>
          </cell>
          <cell r="B945" t="str">
            <v>深秋165-JJG65584</v>
          </cell>
          <cell r="C945">
            <v>46211</v>
          </cell>
        </row>
        <row r="946">
          <cell r="A946" t="str">
            <v>JKN65661</v>
          </cell>
          <cell r="B946" t="str">
            <v>深秋198-JKN65661</v>
          </cell>
          <cell r="C946">
            <v>46211</v>
          </cell>
        </row>
        <row r="947">
          <cell r="A947" t="str">
            <v>JXG65862</v>
          </cell>
          <cell r="B947" t="str">
            <v>深秋226-JXG65862</v>
          </cell>
          <cell r="C947">
            <v>46211</v>
          </cell>
        </row>
        <row r="948">
          <cell r="A948" t="str">
            <v>JXN65599</v>
          </cell>
          <cell r="B948" t="str">
            <v>深秋233-JXN65599</v>
          </cell>
          <cell r="C948">
            <v>46211</v>
          </cell>
        </row>
        <row r="949">
          <cell r="A949" t="str">
            <v>JKG65676</v>
          </cell>
          <cell r="B949" t="str">
            <v>深秋239-JKG65676</v>
          </cell>
          <cell r="C949">
            <v>46211</v>
          </cell>
        </row>
        <row r="950">
          <cell r="A950" t="str">
            <v>JRB65666</v>
          </cell>
          <cell r="B950" t="str">
            <v>深秋242-JRB65666</v>
          </cell>
          <cell r="C950">
            <v>46211</v>
          </cell>
        </row>
        <row r="951">
          <cell r="A951" t="str">
            <v>JRG65665</v>
          </cell>
          <cell r="B951" t="str">
            <v>深秋244-JRG65665</v>
          </cell>
          <cell r="C951">
            <v>46211</v>
          </cell>
        </row>
        <row r="952">
          <cell r="A952" t="str">
            <v>JRN65667</v>
          </cell>
          <cell r="B952" t="str">
            <v>深秋245-JRN65667</v>
          </cell>
          <cell r="C952">
            <v>46211</v>
          </cell>
        </row>
        <row r="953">
          <cell r="A953" t="str">
            <v>JXB65670</v>
          </cell>
          <cell r="B953" t="str">
            <v>深秋248-JXB65670</v>
          </cell>
          <cell r="C953">
            <v>46211</v>
          </cell>
        </row>
        <row r="954">
          <cell r="A954" t="str">
            <v>JXB65671</v>
          </cell>
          <cell r="B954" t="str">
            <v>深秋249-JXB65671</v>
          </cell>
          <cell r="C954">
            <v>46211</v>
          </cell>
        </row>
        <row r="955">
          <cell r="A955" t="str">
            <v>JKG64094</v>
          </cell>
          <cell r="B955" t="str">
            <v>冬144-JKG64094</v>
          </cell>
          <cell r="C955">
            <v>46212</v>
          </cell>
        </row>
        <row r="956">
          <cell r="A956" t="str">
            <v>JLG65462</v>
          </cell>
          <cell r="B956" t="str">
            <v>深秋223-JLG65462</v>
          </cell>
          <cell r="C956">
            <v>46212</v>
          </cell>
        </row>
        <row r="957">
          <cell r="A957" t="str">
            <v>JZN65453</v>
          </cell>
          <cell r="B957" t="str">
            <v>深秋234-JZN65453</v>
          </cell>
          <cell r="C957">
            <v>46212</v>
          </cell>
        </row>
        <row r="958">
          <cell r="A958" t="str">
            <v>JDG65675</v>
          </cell>
          <cell r="B958" t="str">
            <v>深秋235-JDG65675</v>
          </cell>
          <cell r="C958">
            <v>46212</v>
          </cell>
        </row>
        <row r="959">
          <cell r="A959" t="str">
            <v>JRG65664</v>
          </cell>
          <cell r="B959" t="str">
            <v>深秋243-JRG65664</v>
          </cell>
          <cell r="C959">
            <v>46212</v>
          </cell>
        </row>
        <row r="960">
          <cell r="A960" t="str">
            <v>JMG65012</v>
          </cell>
          <cell r="B960" t="str">
            <v>深秋273-JMG65012</v>
          </cell>
          <cell r="C960">
            <v>46212</v>
          </cell>
        </row>
        <row r="961">
          <cell r="A961" t="str">
            <v>JMG65018</v>
          </cell>
          <cell r="B961" t="str">
            <v>深秋274-JMG65018</v>
          </cell>
          <cell r="C961">
            <v>46212</v>
          </cell>
        </row>
        <row r="962">
          <cell r="A962" t="str">
            <v>JKB65472</v>
          </cell>
          <cell r="B962" t="str">
            <v>深秋282-JKB65472</v>
          </cell>
          <cell r="C962">
            <v>46212</v>
          </cell>
        </row>
        <row r="963">
          <cell r="A963" t="str">
            <v>JJN64619</v>
          </cell>
          <cell r="B963" t="str">
            <v>冬138-JJN64619</v>
          </cell>
          <cell r="C963">
            <v>46212</v>
          </cell>
        </row>
        <row r="964">
          <cell r="A964" t="str">
            <v>JGN65451</v>
          </cell>
          <cell r="B964" t="str">
            <v>深秋213-JGN65451</v>
          </cell>
          <cell r="C964">
            <v>46213</v>
          </cell>
        </row>
        <row r="965">
          <cell r="A965" t="str">
            <v>JGN65452</v>
          </cell>
          <cell r="B965" t="str">
            <v>深秋214-JGN65452</v>
          </cell>
          <cell r="C965">
            <v>46213</v>
          </cell>
        </row>
        <row r="966">
          <cell r="A966" t="str">
            <v>JKG65460</v>
          </cell>
          <cell r="B966" t="str">
            <v>深秋220-JKG65460</v>
          </cell>
          <cell r="C966">
            <v>46213</v>
          </cell>
        </row>
        <row r="967">
          <cell r="A967" t="str">
            <v>JXN65450</v>
          </cell>
          <cell r="B967" t="str">
            <v>深秋230-JXN65450</v>
          </cell>
          <cell r="C967">
            <v>46213</v>
          </cell>
        </row>
        <row r="968">
          <cell r="A968" t="str">
            <v>JTG65680</v>
          </cell>
          <cell r="B968" t="str">
            <v>深秋247-JTG65680</v>
          </cell>
          <cell r="C968">
            <v>46213</v>
          </cell>
        </row>
        <row r="969">
          <cell r="A969" t="str">
            <v>JXN65475</v>
          </cell>
          <cell r="B969" t="str">
            <v>深秋287-JXN65475</v>
          </cell>
          <cell r="C969">
            <v>46213</v>
          </cell>
        </row>
        <row r="970">
          <cell r="A970" t="str">
            <v>JXN65477A</v>
          </cell>
          <cell r="B970" t="str">
            <v>深秋288-JXN65477A</v>
          </cell>
          <cell r="C970">
            <v>46213</v>
          </cell>
        </row>
        <row r="971">
          <cell r="A971" t="str">
            <v>JXN65477B</v>
          </cell>
          <cell r="B971" t="str">
            <v>深秋288-JXN65477B</v>
          </cell>
          <cell r="C971">
            <v>46213</v>
          </cell>
        </row>
        <row r="972">
          <cell r="A972" t="str">
            <v>JDG65071</v>
          </cell>
          <cell r="B972" t="str">
            <v>深秋182-JDG65071</v>
          </cell>
          <cell r="C972">
            <v>46213</v>
          </cell>
        </row>
        <row r="973">
          <cell r="A973" t="str">
            <v>JGG65074</v>
          </cell>
          <cell r="B973" t="str">
            <v>深秋184-JGG65074</v>
          </cell>
          <cell r="C973">
            <v>46213</v>
          </cell>
        </row>
        <row r="974">
          <cell r="A974" t="str">
            <v>JKN65094</v>
          </cell>
          <cell r="B974" t="str">
            <v>深秋269-JKN65094</v>
          </cell>
          <cell r="C974">
            <v>46214</v>
          </cell>
        </row>
        <row r="975">
          <cell r="A975" t="str">
            <v>JAB64615</v>
          </cell>
          <cell r="B975" t="str">
            <v>冬109-JAB64615</v>
          </cell>
          <cell r="C975">
            <v>46214</v>
          </cell>
        </row>
        <row r="976">
          <cell r="A976" t="str">
            <v>JKB64017</v>
          </cell>
          <cell r="B976" t="str">
            <v>冬115-JKB64017</v>
          </cell>
          <cell r="C976">
            <v>46214</v>
          </cell>
        </row>
        <row r="977">
          <cell r="A977" t="str">
            <v>JKG65100</v>
          </cell>
          <cell r="B977" t="str">
            <v>深秋267-JKG65100</v>
          </cell>
          <cell r="C977">
            <v>46215</v>
          </cell>
        </row>
        <row r="978">
          <cell r="A978" t="str">
            <v>JKG65095</v>
          </cell>
          <cell r="B978" t="str">
            <v>深秋268-JKG65095</v>
          </cell>
          <cell r="C978">
            <v>46215</v>
          </cell>
        </row>
        <row r="979">
          <cell r="A979" t="str">
            <v>JKN65480A</v>
          </cell>
          <cell r="B979" t="str">
            <v>深秋285-JKN65480A</v>
          </cell>
          <cell r="C979">
            <v>46215</v>
          </cell>
        </row>
        <row r="980">
          <cell r="A980" t="str">
            <v>JKN65480B</v>
          </cell>
          <cell r="B980" t="str">
            <v>深秋285-JKN65480B</v>
          </cell>
          <cell r="C980">
            <v>46215</v>
          </cell>
        </row>
        <row r="981">
          <cell r="A981" t="str">
            <v>JKG65639</v>
          </cell>
          <cell r="B981" t="str">
            <v>深秋153-JKG65639</v>
          </cell>
          <cell r="C981">
            <v>46215</v>
          </cell>
        </row>
        <row r="982">
          <cell r="A982" t="str">
            <v>JJG65470</v>
          </cell>
          <cell r="B982" t="str">
            <v>深秋217-JJG65470</v>
          </cell>
          <cell r="C982">
            <v>46215</v>
          </cell>
        </row>
        <row r="983">
          <cell r="A983" t="str">
            <v>JJG65471</v>
          </cell>
          <cell r="B983" t="str">
            <v>深秋218-JJG65471</v>
          </cell>
          <cell r="C983">
            <v>46215</v>
          </cell>
        </row>
        <row r="984">
          <cell r="A984" t="str">
            <v>JLG65461</v>
          </cell>
          <cell r="B984" t="str">
            <v>深秋222-JLG65461</v>
          </cell>
          <cell r="C984">
            <v>46215</v>
          </cell>
        </row>
        <row r="985">
          <cell r="A985" t="str">
            <v>JJG64870</v>
          </cell>
          <cell r="B985" t="str">
            <v>冬100-JJG64870</v>
          </cell>
          <cell r="C985">
            <v>46216</v>
          </cell>
        </row>
        <row r="986">
          <cell r="A986" t="str">
            <v>JJB64618</v>
          </cell>
          <cell r="B986" t="str">
            <v>冬128-JJB64618</v>
          </cell>
          <cell r="C986">
            <v>46216</v>
          </cell>
        </row>
        <row r="987">
          <cell r="A987" t="str">
            <v>JTG64525</v>
          </cell>
          <cell r="B987" t="str">
            <v>冬135-JTG64525</v>
          </cell>
          <cell r="C987">
            <v>46216</v>
          </cell>
        </row>
        <row r="988">
          <cell r="A988" t="str">
            <v>JQG63130</v>
          </cell>
          <cell r="B988" t="str">
            <v>秋620-JQG63130</v>
          </cell>
          <cell r="C988">
            <v>46216</v>
          </cell>
        </row>
        <row r="989">
          <cell r="A989" t="str">
            <v>JKG65039</v>
          </cell>
          <cell r="B989" t="str">
            <v>深秋104-JKG65039</v>
          </cell>
          <cell r="C989">
            <v>46216</v>
          </cell>
        </row>
        <row r="990">
          <cell r="A990" t="str">
            <v>JDG65076</v>
          </cell>
          <cell r="B990" t="str">
            <v>深秋183-JDG65076</v>
          </cell>
          <cell r="C990">
            <v>46216</v>
          </cell>
        </row>
        <row r="991">
          <cell r="A991" t="str">
            <v>JRG65077</v>
          </cell>
          <cell r="B991" t="str">
            <v>深秋192-JRG65077</v>
          </cell>
          <cell r="C991">
            <v>46216</v>
          </cell>
        </row>
        <row r="992">
          <cell r="A992" t="str">
            <v>JRG65656</v>
          </cell>
          <cell r="B992" t="str">
            <v>深秋202-JRG65656</v>
          </cell>
          <cell r="C992">
            <v>46216</v>
          </cell>
        </row>
        <row r="993">
          <cell r="A993" t="str">
            <v>JKB65858</v>
          </cell>
          <cell r="B993" t="str">
            <v>深秋220-JKB65858</v>
          </cell>
          <cell r="C993">
            <v>46216</v>
          </cell>
        </row>
        <row r="994">
          <cell r="A994" t="str">
            <v>JRG65457</v>
          </cell>
          <cell r="B994" t="str">
            <v>深秋229-JRG65457</v>
          </cell>
          <cell r="C994">
            <v>46216</v>
          </cell>
        </row>
        <row r="995">
          <cell r="A995" t="str">
            <v>JTB65681</v>
          </cell>
          <cell r="B995" t="str">
            <v>深秋246-JTB65681</v>
          </cell>
          <cell r="C995">
            <v>46216</v>
          </cell>
        </row>
        <row r="996">
          <cell r="A996" t="str">
            <v>JXN65672</v>
          </cell>
          <cell r="B996" t="str">
            <v>深秋250-JXN65672</v>
          </cell>
          <cell r="C996">
            <v>46216</v>
          </cell>
        </row>
        <row r="997">
          <cell r="A997" t="str">
            <v>JKG65478</v>
          </cell>
          <cell r="B997" t="str">
            <v>深秋284-JKG65478</v>
          </cell>
          <cell r="C997">
            <v>46216</v>
          </cell>
        </row>
        <row r="998">
          <cell r="A998" t="str">
            <v>JMG65058</v>
          </cell>
          <cell r="B998" t="str">
            <v>深秋292-JMG65058</v>
          </cell>
          <cell r="C998">
            <v>46216</v>
          </cell>
        </row>
        <row r="999">
          <cell r="A999" t="str">
            <v>JDG65683</v>
          </cell>
          <cell r="B999" t="str">
            <v>深秋312-JDG65683</v>
          </cell>
          <cell r="C999">
            <v>46216</v>
          </cell>
        </row>
        <row r="1000">
          <cell r="A1000" t="str">
            <v>JYG64846</v>
          </cell>
          <cell r="B1000" t="str">
            <v>冬45-JYG64846</v>
          </cell>
          <cell r="C1000">
            <v>46216</v>
          </cell>
        </row>
        <row r="1001">
          <cell r="A1001" t="str">
            <v>JYN64853</v>
          </cell>
          <cell r="B1001" t="str">
            <v>冬54-JYN64853</v>
          </cell>
          <cell r="C1001">
            <v>46216</v>
          </cell>
        </row>
        <row r="1002">
          <cell r="A1002" t="str">
            <v>JJG64021</v>
          </cell>
          <cell r="B1002" t="str">
            <v>冬125-JJG64021</v>
          </cell>
          <cell r="C1002">
            <v>46217</v>
          </cell>
        </row>
        <row r="1003">
          <cell r="A1003" t="str">
            <v>JHG64033</v>
          </cell>
          <cell r="B1003" t="str">
            <v>冬142-JHG64033</v>
          </cell>
          <cell r="C1003">
            <v>46217</v>
          </cell>
        </row>
        <row r="1004">
          <cell r="A1004" t="str">
            <v>JJG65668</v>
          </cell>
          <cell r="B1004" t="str">
            <v>深秋237-JJG65668</v>
          </cell>
          <cell r="C1004">
            <v>46217</v>
          </cell>
        </row>
        <row r="1005">
          <cell r="A1005" t="str">
            <v>JLB65677</v>
          </cell>
          <cell r="B1005" t="str">
            <v>深秋241-JLB65677</v>
          </cell>
          <cell r="C1005">
            <v>46217</v>
          </cell>
        </row>
        <row r="1006">
          <cell r="A1006" t="str">
            <v>JTG65029</v>
          </cell>
          <cell r="B1006" t="str">
            <v>深秋277-JTG65029</v>
          </cell>
          <cell r="C1006">
            <v>46217</v>
          </cell>
        </row>
        <row r="1007">
          <cell r="A1007" t="str">
            <v>JKB65473</v>
          </cell>
          <cell r="B1007" t="str">
            <v>深秋283-JKB65473</v>
          </cell>
          <cell r="C1007">
            <v>46217</v>
          </cell>
        </row>
        <row r="1008">
          <cell r="A1008" t="str">
            <v>JHN65114</v>
          </cell>
          <cell r="B1008" t="str">
            <v>深秋289-JHN65114</v>
          </cell>
          <cell r="C1008">
            <v>46217</v>
          </cell>
        </row>
        <row r="1009">
          <cell r="A1009" t="str">
            <v>JNN65113</v>
          </cell>
          <cell r="B1009" t="str">
            <v>深秋293-JNN65113</v>
          </cell>
          <cell r="C1009">
            <v>46217</v>
          </cell>
        </row>
        <row r="1010">
          <cell r="A1010" t="str">
            <v>JXN65889</v>
          </cell>
          <cell r="B1010" t="str">
            <v>深秋311-JXN65889</v>
          </cell>
          <cell r="C1010">
            <v>46217</v>
          </cell>
        </row>
        <row r="1011">
          <cell r="A1011" t="str">
            <v>JKN65687</v>
          </cell>
          <cell r="B1011" t="str">
            <v>深秋317-JKN65687</v>
          </cell>
          <cell r="C1011">
            <v>46217</v>
          </cell>
        </row>
        <row r="1012">
          <cell r="A1012" t="str">
            <v>JHN64621</v>
          </cell>
          <cell r="B1012" t="str">
            <v>冬137-JHN64621</v>
          </cell>
          <cell r="C1012">
            <v>46218</v>
          </cell>
        </row>
        <row r="1013">
          <cell r="A1013" t="str">
            <v>JHG64031</v>
          </cell>
          <cell r="B1013" t="str">
            <v>冬141-JHG64031</v>
          </cell>
          <cell r="C1013">
            <v>46218</v>
          </cell>
        </row>
        <row r="1014">
          <cell r="A1014" t="str">
            <v>JJB64883</v>
          </cell>
          <cell r="B1014" t="str">
            <v>冬153-JJB64883</v>
          </cell>
          <cell r="C1014">
            <v>46218</v>
          </cell>
        </row>
        <row r="1015">
          <cell r="A1015" t="str">
            <v>JJB64885</v>
          </cell>
          <cell r="B1015" t="str">
            <v>冬154-JJB64885</v>
          </cell>
          <cell r="C1015">
            <v>46218</v>
          </cell>
        </row>
        <row r="1016">
          <cell r="A1016" t="str">
            <v>JQG65455</v>
          </cell>
          <cell r="B1016" t="str">
            <v>深秋228-JQG65455</v>
          </cell>
          <cell r="C1016">
            <v>46218</v>
          </cell>
        </row>
        <row r="1017">
          <cell r="A1017" t="str">
            <v>JXG65093</v>
          </cell>
          <cell r="B1017" t="str">
            <v>深秋280-JXG65093</v>
          </cell>
          <cell r="C1017">
            <v>46218</v>
          </cell>
        </row>
        <row r="1018">
          <cell r="A1018" t="str">
            <v>JKN64022</v>
          </cell>
          <cell r="B1018" t="str">
            <v>冬126-JKN64022</v>
          </cell>
          <cell r="C1018">
            <v>46218</v>
          </cell>
        </row>
        <row r="1019">
          <cell r="A1019" t="str">
            <v>JMN65046</v>
          </cell>
          <cell r="B1019" t="str">
            <v>深秋276-JMN65046</v>
          </cell>
          <cell r="C1019">
            <v>46218</v>
          </cell>
        </row>
        <row r="1020">
          <cell r="A1020" t="str">
            <v>JMB65052</v>
          </cell>
          <cell r="B1020" t="str">
            <v>深秋291-JMB65052</v>
          </cell>
          <cell r="C1020">
            <v>46218</v>
          </cell>
        </row>
        <row r="1021">
          <cell r="A1021" t="str">
            <v>JMG65025</v>
          </cell>
          <cell r="B1021" t="str">
            <v>深秋275-JMG65025</v>
          </cell>
          <cell r="C1021">
            <v>46218</v>
          </cell>
        </row>
        <row r="1022">
          <cell r="A1022" t="str">
            <v>JHN65529</v>
          </cell>
          <cell r="B1022" t="str">
            <v>深秋322-JHN65529</v>
          </cell>
          <cell r="C1022">
            <v>46219</v>
          </cell>
        </row>
        <row r="1023">
          <cell r="A1023" t="str">
            <v>JMG65533</v>
          </cell>
          <cell r="B1023" t="str">
            <v>深秋324-JMG65533</v>
          </cell>
          <cell r="C1023">
            <v>46219</v>
          </cell>
        </row>
        <row r="1024">
          <cell r="A1024" t="str">
            <v>JTG65852</v>
          </cell>
          <cell r="B1024" t="str">
            <v>深秋132-JTG65852</v>
          </cell>
          <cell r="C1024">
            <v>46220</v>
          </cell>
        </row>
        <row r="1025">
          <cell r="A1025" t="str">
            <v>JXN65847A</v>
          </cell>
          <cell r="B1025" t="str">
            <v>深秋135-JXN65847A</v>
          </cell>
          <cell r="C1025">
            <v>46220</v>
          </cell>
        </row>
        <row r="1026">
          <cell r="A1026" t="str">
            <v>JXN65847B</v>
          </cell>
          <cell r="B1026" t="str">
            <v>深秋135-JXN65847B</v>
          </cell>
          <cell r="C1026">
            <v>46220</v>
          </cell>
        </row>
        <row r="1027">
          <cell r="A1027" t="str">
            <v>JCB65583</v>
          </cell>
          <cell r="B1027" t="str">
            <v>深秋162-JCB65583</v>
          </cell>
          <cell r="C1027">
            <v>46220</v>
          </cell>
        </row>
        <row r="1028">
          <cell r="A1028" t="str">
            <v>JHB65067</v>
          </cell>
          <cell r="B1028" t="str">
            <v>深秋185-JHB65067</v>
          </cell>
          <cell r="C1028">
            <v>46220</v>
          </cell>
        </row>
        <row r="1029">
          <cell r="A1029" t="str">
            <v>JKG65072</v>
          </cell>
          <cell r="B1029" t="str">
            <v>深秋186-JKG65072</v>
          </cell>
          <cell r="C1029">
            <v>46220</v>
          </cell>
        </row>
        <row r="1030">
          <cell r="A1030" t="str">
            <v>JLG65075</v>
          </cell>
          <cell r="B1030" t="str">
            <v>深秋189-JLG65075</v>
          </cell>
          <cell r="C1030">
            <v>46220</v>
          </cell>
        </row>
        <row r="1031">
          <cell r="A1031" t="str">
            <v>JTB65065</v>
          </cell>
          <cell r="B1031" t="str">
            <v>深秋193-JTB65065</v>
          </cell>
          <cell r="C1031">
            <v>46220</v>
          </cell>
        </row>
        <row r="1032">
          <cell r="A1032" t="str">
            <v>JKG65660</v>
          </cell>
          <cell r="B1032" t="str">
            <v>深秋196-JKG65660</v>
          </cell>
          <cell r="C1032">
            <v>46220</v>
          </cell>
        </row>
        <row r="1033">
          <cell r="A1033" t="str">
            <v>JTN65650</v>
          </cell>
          <cell r="B1033" t="str">
            <v>深秋206-JTN65650</v>
          </cell>
          <cell r="C1033">
            <v>46220</v>
          </cell>
        </row>
        <row r="1034">
          <cell r="A1034" t="str">
            <v>JXG65644</v>
          </cell>
          <cell r="B1034" t="str">
            <v>深秋209-JXG65644</v>
          </cell>
          <cell r="C1034">
            <v>46220</v>
          </cell>
        </row>
        <row r="1035">
          <cell r="A1035" t="str">
            <v>JKB65678</v>
          </cell>
          <cell r="B1035" t="str">
            <v>深秋238-JKB65678</v>
          </cell>
          <cell r="C1035">
            <v>46220</v>
          </cell>
        </row>
        <row r="1036">
          <cell r="A1036" t="str">
            <v>JKN65679</v>
          </cell>
          <cell r="B1036" t="str">
            <v>深秋240-JKN65679</v>
          </cell>
          <cell r="C1036">
            <v>46220</v>
          </cell>
        </row>
        <row r="1037">
          <cell r="A1037" t="str">
            <v>JNN65872</v>
          </cell>
          <cell r="B1037" t="str">
            <v>深秋300-JNN65872</v>
          </cell>
          <cell r="C1037">
            <v>46220</v>
          </cell>
        </row>
        <row r="1038">
          <cell r="A1038" t="str">
            <v>JNN65885</v>
          </cell>
          <cell r="B1038" t="str">
            <v>深秋301-JNN65885</v>
          </cell>
          <cell r="C1038">
            <v>46220</v>
          </cell>
        </row>
        <row r="1039">
          <cell r="A1039" t="str">
            <v>JDG65120</v>
          </cell>
          <cell r="B1039" t="str">
            <v>深秋328-JDG65120</v>
          </cell>
          <cell r="C1039">
            <v>46220</v>
          </cell>
        </row>
        <row r="1040">
          <cell r="A1040" t="str">
            <v>JXG65690</v>
          </cell>
          <cell r="B1040" t="str">
            <v>深秋336-JXG65690</v>
          </cell>
          <cell r="C1040">
            <v>46220</v>
          </cell>
        </row>
        <row r="1041">
          <cell r="A1041" t="str">
            <v>JJB64016</v>
          </cell>
          <cell r="B1041" t="str">
            <v>冬113-JJB64016</v>
          </cell>
          <cell r="C1041">
            <v>46220</v>
          </cell>
        </row>
        <row r="1042">
          <cell r="A1042" t="str">
            <v>JRN65887</v>
          </cell>
          <cell r="B1042" t="str">
            <v>深秋306-JRN65887</v>
          </cell>
          <cell r="C1042">
            <v>46221</v>
          </cell>
        </row>
        <row r="1043">
          <cell r="A1043" t="str">
            <v>JHN65689</v>
          </cell>
          <cell r="B1043" t="str">
            <v>深秋334-JHN65689</v>
          </cell>
          <cell r="C1043">
            <v>46221</v>
          </cell>
        </row>
        <row r="1044">
          <cell r="A1044" t="str">
            <v>JRB65688</v>
          </cell>
          <cell r="B1044" t="str">
            <v>深秋335-JRB65688</v>
          </cell>
          <cell r="C1044">
            <v>46221</v>
          </cell>
        </row>
        <row r="1045">
          <cell r="A1045" t="str">
            <v>JXN65456</v>
          </cell>
          <cell r="B1045" t="str">
            <v>深秋231-JXN65456</v>
          </cell>
          <cell r="C1045">
            <v>46221</v>
          </cell>
        </row>
        <row r="1046">
          <cell r="A1046" t="str">
            <v>JRG65882</v>
          </cell>
          <cell r="B1046" t="str">
            <v>深秋305-JRG65882</v>
          </cell>
          <cell r="C1046">
            <v>46221</v>
          </cell>
        </row>
        <row r="1047">
          <cell r="A1047" t="str">
            <v>JTG65092</v>
          </cell>
          <cell r="B1047" t="str">
            <v>深秋279-JTG65092</v>
          </cell>
          <cell r="C1047">
            <v>46223</v>
          </cell>
        </row>
        <row r="1048">
          <cell r="A1048" t="str">
            <v>JLG65111</v>
          </cell>
          <cell r="B1048" t="str">
            <v>深秋290-JLG65111</v>
          </cell>
          <cell r="C1048">
            <v>46223</v>
          </cell>
        </row>
        <row r="1049">
          <cell r="A1049" t="str">
            <v>JXG65109</v>
          </cell>
          <cell r="B1049" t="str">
            <v>深秋294-JXG65109</v>
          </cell>
          <cell r="C1049">
            <v>46223</v>
          </cell>
        </row>
        <row r="1050">
          <cell r="A1050" t="str">
            <v>JMG65554</v>
          </cell>
          <cell r="B1050" t="str">
            <v>深秋325-JMG65554</v>
          </cell>
          <cell r="C1050">
            <v>46223</v>
          </cell>
        </row>
        <row r="1051">
          <cell r="A1051" t="str">
            <v>JMN65553</v>
          </cell>
          <cell r="B1051" t="str">
            <v>深秋326-JMN65553</v>
          </cell>
          <cell r="C1051">
            <v>46223</v>
          </cell>
        </row>
        <row r="1052">
          <cell r="A1052" t="str">
            <v>JTG65118</v>
          </cell>
          <cell r="B1052" t="str">
            <v>深秋332-JTG65118</v>
          </cell>
          <cell r="C1052">
            <v>46223</v>
          </cell>
        </row>
        <row r="1053">
          <cell r="A1053" t="str">
            <v>JZN65133</v>
          </cell>
          <cell r="B1053" t="str">
            <v>深秋337-JZN65133</v>
          </cell>
          <cell r="C1053">
            <v>46223</v>
          </cell>
        </row>
        <row r="1054">
          <cell r="A1054" t="str">
            <v>JKG64023</v>
          </cell>
          <cell r="B1054" t="str">
            <v>冬124-JKG64023</v>
          </cell>
          <cell r="C1054">
            <v>46223</v>
          </cell>
        </row>
        <row r="1055">
          <cell r="A1055" t="str">
            <v>JJB64025</v>
          </cell>
          <cell r="B1055" t="str">
            <v>冬143-JJB64025</v>
          </cell>
          <cell r="C1055">
            <v>46223</v>
          </cell>
        </row>
        <row r="1056">
          <cell r="A1056" t="str">
            <v>JKN64026</v>
          </cell>
          <cell r="B1056" t="str">
            <v>冬145-JKN64026</v>
          </cell>
          <cell r="C1056">
            <v>46223</v>
          </cell>
        </row>
        <row r="1057">
          <cell r="A1057" t="str">
            <v>JDG64029</v>
          </cell>
          <cell r="B1057" t="str">
            <v>冬147-JDG64029</v>
          </cell>
          <cell r="C1057">
            <v>46223</v>
          </cell>
        </row>
        <row r="1058">
          <cell r="A1058" t="str">
            <v>JKG64030</v>
          </cell>
          <cell r="B1058" t="str">
            <v>冬148-JKG64030</v>
          </cell>
          <cell r="C1058">
            <v>46223</v>
          </cell>
        </row>
        <row r="1059">
          <cell r="A1059" t="str">
            <v>JHG65595</v>
          </cell>
          <cell r="B1059" t="str">
            <v>深秋176-JHG65595</v>
          </cell>
          <cell r="C1059">
            <v>46223</v>
          </cell>
        </row>
        <row r="1060">
          <cell r="A1060" t="str">
            <v>JQG65069</v>
          </cell>
          <cell r="B1060" t="str">
            <v>深秋190-JQG65069</v>
          </cell>
          <cell r="C1060">
            <v>46223</v>
          </cell>
        </row>
        <row r="1061">
          <cell r="A1061" t="str">
            <v>JZN65495</v>
          </cell>
          <cell r="B1061" t="str">
            <v>深秋191-JZN65495</v>
          </cell>
          <cell r="C1061">
            <v>46223</v>
          </cell>
        </row>
        <row r="1062">
          <cell r="A1062" t="str">
            <v>JHG65674</v>
          </cell>
          <cell r="B1062" t="str">
            <v>深秋236-JHG65674</v>
          </cell>
          <cell r="C1062">
            <v>46223</v>
          </cell>
        </row>
        <row r="1063">
          <cell r="A1063" t="str">
            <v>JLG65099</v>
          </cell>
          <cell r="B1063" t="str">
            <v>深秋271-JLG65099</v>
          </cell>
          <cell r="C1063">
            <v>46223</v>
          </cell>
        </row>
        <row r="1064">
          <cell r="A1064" t="str">
            <v>JTG65033</v>
          </cell>
          <cell r="B1064" t="str">
            <v>深秋278-JTG65033</v>
          </cell>
          <cell r="C1064">
            <v>46223</v>
          </cell>
        </row>
        <row r="1065">
          <cell r="A1065" t="str">
            <v>JJG64877</v>
          </cell>
          <cell r="B1065" t="str">
            <v>冬130-JJG64877</v>
          </cell>
          <cell r="C1065">
            <v>46224</v>
          </cell>
        </row>
        <row r="1066">
          <cell r="A1066" t="str">
            <v>JKB64526</v>
          </cell>
          <cell r="B1066" t="str">
            <v>冬146-JKB64526</v>
          </cell>
          <cell r="C1066">
            <v>46224</v>
          </cell>
        </row>
        <row r="1067">
          <cell r="A1067" t="str">
            <v>JJB65867</v>
          </cell>
          <cell r="B1067" t="str">
            <v>深秋215-JJB65867</v>
          </cell>
          <cell r="C1067">
            <v>46224</v>
          </cell>
        </row>
        <row r="1068">
          <cell r="A1068" t="str">
            <v>JJN65458</v>
          </cell>
          <cell r="B1068" t="str">
            <v>深秋219-JJN65458</v>
          </cell>
          <cell r="C1068">
            <v>46224</v>
          </cell>
        </row>
        <row r="1069">
          <cell r="A1069" t="str">
            <v>JQG65857</v>
          </cell>
          <cell r="B1069" t="str">
            <v>深秋222-JQG65857</v>
          </cell>
          <cell r="C1069">
            <v>46224</v>
          </cell>
        </row>
        <row r="1070">
          <cell r="A1070" t="str">
            <v>JXN65594</v>
          </cell>
          <cell r="B1070" t="str">
            <v>深秋232-JXN65594</v>
          </cell>
          <cell r="C1070">
            <v>46224</v>
          </cell>
        </row>
        <row r="1071">
          <cell r="A1071" t="str">
            <v>JTB65888</v>
          </cell>
          <cell r="B1071" t="str">
            <v>深秋307-JTB65888</v>
          </cell>
          <cell r="C1071">
            <v>46224</v>
          </cell>
        </row>
        <row r="1072">
          <cell r="A1072" t="str">
            <v>JKN65874</v>
          </cell>
          <cell r="B1072" t="str">
            <v>深秋320-JKN65874</v>
          </cell>
          <cell r="C1072">
            <v>46224</v>
          </cell>
        </row>
        <row r="1073">
          <cell r="A1073" t="str">
            <v>JGG64878</v>
          </cell>
          <cell r="B1073" t="str">
            <v>冬129-JGG64878</v>
          </cell>
          <cell r="C1073">
            <v>46224</v>
          </cell>
        </row>
        <row r="1074">
          <cell r="A1074" t="str">
            <v>JEB63424</v>
          </cell>
          <cell r="B1074" t="str">
            <v>秋619-JEB63424</v>
          </cell>
          <cell r="C1074">
            <v>46225</v>
          </cell>
        </row>
        <row r="1075">
          <cell r="A1075" t="str">
            <v>JGG65854</v>
          </cell>
          <cell r="B1075" t="str">
            <v>深秋213-JGG65854</v>
          </cell>
          <cell r="C1075">
            <v>46225</v>
          </cell>
        </row>
        <row r="1076">
          <cell r="A1076" t="str">
            <v>JJG65869</v>
          </cell>
          <cell r="B1076" t="str">
            <v>深秋219-JJG65869</v>
          </cell>
          <cell r="C1076">
            <v>46225</v>
          </cell>
        </row>
        <row r="1077">
          <cell r="A1077" t="str">
            <v>JQG65855</v>
          </cell>
          <cell r="B1077" t="str">
            <v>深秋221-JQG65855</v>
          </cell>
          <cell r="C1077">
            <v>46225</v>
          </cell>
        </row>
        <row r="1078">
          <cell r="A1078" t="str">
            <v>JHB65883</v>
          </cell>
          <cell r="B1078" t="str">
            <v>深秋295-JHB65883</v>
          </cell>
          <cell r="C1078">
            <v>46225</v>
          </cell>
        </row>
        <row r="1079">
          <cell r="A1079" t="str">
            <v>JTG65875</v>
          </cell>
          <cell r="B1079" t="str">
            <v>深秋308-JTG65875</v>
          </cell>
          <cell r="C1079">
            <v>46225</v>
          </cell>
        </row>
        <row r="1080">
          <cell r="A1080" t="str">
            <v>JKN65685</v>
          </cell>
          <cell r="B1080" t="str">
            <v>深秋315-JKN65685</v>
          </cell>
          <cell r="C1080">
            <v>46225</v>
          </cell>
        </row>
        <row r="1081">
          <cell r="A1081" t="str">
            <v>JKG64881</v>
          </cell>
          <cell r="B1081" t="str">
            <v>冬159-JKG64881</v>
          </cell>
          <cell r="C1081">
            <v>46225</v>
          </cell>
        </row>
        <row r="1082">
          <cell r="A1082" t="str">
            <v>JKN64626</v>
          </cell>
          <cell r="B1082" t="str">
            <v>冬164-JKN64626</v>
          </cell>
          <cell r="C1082">
            <v>46225</v>
          </cell>
        </row>
        <row r="1083">
          <cell r="A1083" t="str">
            <v>JZG64524</v>
          </cell>
          <cell r="B1083" t="str">
            <v>冬136-JZG64524</v>
          </cell>
          <cell r="C1083">
            <v>46226</v>
          </cell>
        </row>
        <row r="1084">
          <cell r="A1084" t="str">
            <v>JAN64890</v>
          </cell>
          <cell r="B1084" t="str">
            <v>冬150-JAN64890</v>
          </cell>
          <cell r="C1084">
            <v>46226</v>
          </cell>
        </row>
        <row r="1085">
          <cell r="A1085" t="str">
            <v>JHN64884</v>
          </cell>
          <cell r="B1085" t="str">
            <v>冬152-JHN64884</v>
          </cell>
          <cell r="C1085">
            <v>46226</v>
          </cell>
        </row>
        <row r="1086">
          <cell r="A1086" t="str">
            <v>JKN64624</v>
          </cell>
          <cell r="B1086" t="str">
            <v>冬163-JKN64624</v>
          </cell>
          <cell r="C1086">
            <v>46226</v>
          </cell>
        </row>
        <row r="1087">
          <cell r="A1087" t="str">
            <v>JJB65860</v>
          </cell>
          <cell r="B1087" t="str">
            <v>深秋214-JJB65860</v>
          </cell>
          <cell r="C1087">
            <v>46226</v>
          </cell>
        </row>
        <row r="1088">
          <cell r="A1088" t="str">
            <v>JJG65880</v>
          </cell>
          <cell r="B1088" t="str">
            <v>深秋298-JJG65880</v>
          </cell>
          <cell r="C1088">
            <v>46226</v>
          </cell>
        </row>
        <row r="1089">
          <cell r="A1089" t="str">
            <v>JJN65884</v>
          </cell>
          <cell r="B1089" t="str">
            <v>深秋299-JJN65884</v>
          </cell>
          <cell r="C1089">
            <v>46226</v>
          </cell>
        </row>
        <row r="1090">
          <cell r="A1090" t="str">
            <v>JKN65684</v>
          </cell>
          <cell r="B1090" t="str">
            <v>深秋314-JKN65684</v>
          </cell>
          <cell r="C1090">
            <v>46226</v>
          </cell>
        </row>
        <row r="1091">
          <cell r="A1091" t="str">
            <v>JMB65588</v>
          </cell>
          <cell r="B1091" t="str">
            <v>深秋323-JMB65588</v>
          </cell>
          <cell r="C1091">
            <v>46226</v>
          </cell>
        </row>
        <row r="1092">
          <cell r="A1092" t="str">
            <v>JMB65054</v>
          </cell>
          <cell r="B1092" t="str">
            <v>深秋330-JMB65054</v>
          </cell>
          <cell r="C1092">
            <v>46226</v>
          </cell>
        </row>
        <row r="1093">
          <cell r="A1093" t="str">
            <v>JKG65893</v>
          </cell>
          <cell r="B1093" t="str">
            <v>深秋372-JKG65893</v>
          </cell>
          <cell r="C1093">
            <v>46226</v>
          </cell>
        </row>
        <row r="1094">
          <cell r="A1094" t="str">
            <v>JJG64879</v>
          </cell>
          <cell r="B1094" t="str">
            <v>冬131-JJG64879</v>
          </cell>
          <cell r="C1094">
            <v>46226</v>
          </cell>
        </row>
        <row r="1095">
          <cell r="A1095" t="str">
            <v>JRG65856</v>
          </cell>
          <cell r="B1095" t="str">
            <v>深秋224-JRG65856</v>
          </cell>
          <cell r="C1095">
            <v>46227</v>
          </cell>
        </row>
        <row r="1096">
          <cell r="A1096" t="str">
            <v>JXG65098</v>
          </cell>
          <cell r="B1096" t="str">
            <v>深秋281-JXG65098</v>
          </cell>
          <cell r="C1096">
            <v>46227</v>
          </cell>
        </row>
        <row r="1097">
          <cell r="A1097" t="str">
            <v>JXG65476</v>
          </cell>
          <cell r="B1097" t="str">
            <v>深秋286-JXG65476</v>
          </cell>
          <cell r="C1097">
            <v>46227</v>
          </cell>
        </row>
        <row r="1098">
          <cell r="A1098" t="str">
            <v>JXG65404</v>
          </cell>
          <cell r="B1098" t="str">
            <v>深秋297-JXG65404</v>
          </cell>
          <cell r="C1098">
            <v>46227</v>
          </cell>
        </row>
        <row r="1099">
          <cell r="A1099" t="str">
            <v>JQG65878</v>
          </cell>
          <cell r="B1099" t="str">
            <v>深秋303-JQG65878</v>
          </cell>
          <cell r="C1099">
            <v>46227</v>
          </cell>
        </row>
        <row r="1100">
          <cell r="A1100" t="str">
            <v>JKG65691</v>
          </cell>
          <cell r="B1100" t="str">
            <v>深秋313-JKG65691</v>
          </cell>
          <cell r="C1100">
            <v>46227</v>
          </cell>
        </row>
        <row r="1101">
          <cell r="A1101" t="str">
            <v>JKN64876</v>
          </cell>
          <cell r="B1101" t="str">
            <v>冬132-JKN64876</v>
          </cell>
          <cell r="C1101">
            <v>46227</v>
          </cell>
        </row>
        <row r="1102">
          <cell r="A1102" t="str">
            <v>JAG64891</v>
          </cell>
          <cell r="B1102" t="str">
            <v>冬149-JAG64891</v>
          </cell>
          <cell r="C1102">
            <v>46227</v>
          </cell>
        </row>
        <row r="1103">
          <cell r="A1103" t="str">
            <v>JKN64892</v>
          </cell>
          <cell r="B1103" t="str">
            <v>冬160-JKN64892</v>
          </cell>
          <cell r="C1103">
            <v>46227</v>
          </cell>
        </row>
        <row r="1104">
          <cell r="A1104" t="str">
            <v>JJG65866</v>
          </cell>
          <cell r="B1104" t="str">
            <v>深秋218-JJG65866</v>
          </cell>
          <cell r="C1104">
            <v>46227</v>
          </cell>
        </row>
        <row r="1105">
          <cell r="A1105" t="str">
            <v>JRG65119</v>
          </cell>
          <cell r="B1105" t="str">
            <v>深秋331-JRG65119</v>
          </cell>
          <cell r="C1105">
            <v>46228</v>
          </cell>
        </row>
        <row r="1106">
          <cell r="A1106" t="str">
            <v>JJG64887</v>
          </cell>
          <cell r="B1106" t="str">
            <v>冬157-JJG64887</v>
          </cell>
          <cell r="C1106">
            <v>46228</v>
          </cell>
        </row>
        <row r="1107">
          <cell r="A1107" t="str">
            <v>JRB65890</v>
          </cell>
          <cell r="B1107" t="str">
            <v>深秋304-JRB65890</v>
          </cell>
          <cell r="C1107">
            <v>46228</v>
          </cell>
        </row>
        <row r="1108">
          <cell r="A1108" t="str">
            <v>JKN65686</v>
          </cell>
          <cell r="B1108" t="str">
            <v>深秋316-JKN65686</v>
          </cell>
          <cell r="C1108">
            <v>46228</v>
          </cell>
        </row>
        <row r="1109">
          <cell r="A1109" t="str">
            <v>JTB65482</v>
          </cell>
          <cell r="B1109" t="str">
            <v>深秋327-JTB65482</v>
          </cell>
          <cell r="C1109">
            <v>46228</v>
          </cell>
        </row>
        <row r="1110">
          <cell r="A1110" t="str">
            <v>JHB65598</v>
          </cell>
          <cell r="B1110" t="str">
            <v>深秋321-JHB65598</v>
          </cell>
          <cell r="C1110">
            <v>46229</v>
          </cell>
        </row>
        <row r="1111">
          <cell r="A1111" t="str">
            <v>JGN65116</v>
          </cell>
          <cell r="B1111" t="str">
            <v>深秋329-JGN65116</v>
          </cell>
          <cell r="C1111">
            <v>46229</v>
          </cell>
        </row>
        <row r="1112">
          <cell r="A1112" t="str">
            <v>JKB65139</v>
          </cell>
          <cell r="B1112" t="str">
            <v>深秋362-JKB65139</v>
          </cell>
          <cell r="C1112">
            <v>46229</v>
          </cell>
        </row>
        <row r="1113">
          <cell r="A1113" t="str">
            <v>JJG64882</v>
          </cell>
          <cell r="B1113" t="str">
            <v>冬155-JJG64882</v>
          </cell>
          <cell r="C1113">
            <v>46229</v>
          </cell>
        </row>
        <row r="1114">
          <cell r="A1114" t="str">
            <v>JJG64906</v>
          </cell>
          <cell r="B1114" t="str">
            <v>冬183-JJG64906</v>
          </cell>
          <cell r="C1114">
            <v>46229</v>
          </cell>
        </row>
        <row r="1115">
          <cell r="A1115" t="str">
            <v>JHG65102</v>
          </cell>
          <cell r="B1115" t="str">
            <v>深秋273-JHG65102</v>
          </cell>
          <cell r="C1115">
            <v>46229</v>
          </cell>
        </row>
        <row r="1116">
          <cell r="A1116" t="str">
            <v>JRG65682</v>
          </cell>
          <cell r="B1116" t="str">
            <v>深秋318-JRG65682</v>
          </cell>
          <cell r="C1116">
            <v>46229</v>
          </cell>
        </row>
        <row r="1117">
          <cell r="A1117" t="str">
            <v>JHN64627</v>
          </cell>
          <cell r="B1117" t="str">
            <v>冬162-JHN64627</v>
          </cell>
          <cell r="C1117">
            <v>46230</v>
          </cell>
        </row>
        <row r="1118">
          <cell r="A1118" t="str">
            <v>JAB64530</v>
          </cell>
          <cell r="B1118" t="str">
            <v>冬166-JAB64530</v>
          </cell>
          <cell r="C1118">
            <v>46230</v>
          </cell>
        </row>
        <row r="1119">
          <cell r="A1119" t="str">
            <v>JJG64905</v>
          </cell>
          <cell r="B1119" t="str">
            <v>冬203-JJG64905</v>
          </cell>
          <cell r="C1119">
            <v>46230</v>
          </cell>
        </row>
        <row r="1120">
          <cell r="A1120" t="str">
            <v>JJN65873</v>
          </cell>
          <cell r="B1120" t="str">
            <v>深秋319-JJN65873</v>
          </cell>
          <cell r="C1120">
            <v>46230</v>
          </cell>
        </row>
        <row r="1121">
          <cell r="A1121" t="str">
            <v>JHG64028</v>
          </cell>
          <cell r="B1121" t="str">
            <v>冬140-JHG64028</v>
          </cell>
          <cell r="C1121">
            <v>46230</v>
          </cell>
        </row>
      </sheetData>
      <sheetData sheetId="10">
        <row r="1">
          <cell r="A1" t="str">
            <v>款号</v>
          </cell>
          <cell r="B1" t="str">
            <v>实际交样时间</v>
          </cell>
          <cell r="C1" t="str">
            <v>样衣情况</v>
          </cell>
          <cell r="D1" t="str">
            <v>样衣异常登记</v>
          </cell>
        </row>
        <row r="1">
          <cell r="G1" t="str">
            <v>款号</v>
          </cell>
          <cell r="H1" t="str">
            <v>最晚下单完成时间</v>
          </cell>
        </row>
        <row r="1">
          <cell r="K1" t="str">
            <v>尺码</v>
          </cell>
          <cell r="L1" t="str">
            <v>20241021更新</v>
          </cell>
          <cell r="M1" t="str">
            <v>唯品基础年龄层</v>
          </cell>
          <cell r="N1" t="str">
            <v>是否需求A类报告</v>
          </cell>
        </row>
        <row r="1">
          <cell r="R1" t="str">
            <v>辅助列</v>
          </cell>
          <cell r="S1" t="str">
            <v>唯品三级类目</v>
          </cell>
        </row>
        <row r="1">
          <cell r="W1" t="str">
            <v>编号</v>
          </cell>
          <cell r="X1" t="str">
            <v>一级品类</v>
          </cell>
        </row>
        <row r="2">
          <cell r="A2" t="str">
            <v>JKB63507</v>
          </cell>
          <cell r="B2">
            <v>46113</v>
          </cell>
          <cell r="C2" t="str">
            <v>已齐</v>
          </cell>
        </row>
        <row r="2">
          <cell r="G2" t="str">
            <v>JYG64801</v>
          </cell>
          <cell r="H2">
            <v>46172</v>
          </cell>
        </row>
        <row r="2">
          <cell r="K2" t="str">
            <v>0-0</v>
          </cell>
          <cell r="L2" t="str">
            <v>中童</v>
          </cell>
        </row>
        <row r="2">
          <cell r="N2" t="str">
            <v>否</v>
          </cell>
        </row>
        <row r="2">
          <cell r="R2" t="str">
            <v>03套装儿童</v>
          </cell>
          <cell r="S2" t="str">
            <v>儿童套装</v>
          </cell>
        </row>
        <row r="2">
          <cell r="W2" t="str">
            <v>K</v>
          </cell>
          <cell r="X2" t="str">
            <v>01裤子</v>
          </cell>
        </row>
        <row r="3">
          <cell r="A3" t="str">
            <v>JXG63517</v>
          </cell>
          <cell r="B3">
            <v>46113</v>
          </cell>
          <cell r="C3" t="str">
            <v>已齐</v>
          </cell>
        </row>
        <row r="3">
          <cell r="G3" t="str">
            <v>JYG64802</v>
          </cell>
          <cell r="H3">
            <v>46160</v>
          </cell>
        </row>
        <row r="3">
          <cell r="K3" t="str">
            <v>100-130</v>
          </cell>
          <cell r="L3" t="str">
            <v>中童</v>
          </cell>
          <cell r="M3" t="str">
            <v>婴幼</v>
          </cell>
          <cell r="N3" t="str">
            <v>是</v>
          </cell>
        </row>
        <row r="3">
          <cell r="R3" t="str">
            <v>07毛衣/针织衫儿童</v>
          </cell>
          <cell r="S3" t="str">
            <v>儿童毛衣/线衫</v>
          </cell>
        </row>
        <row r="3">
          <cell r="W3" t="str">
            <v>D</v>
          </cell>
          <cell r="X3" t="str">
            <v>01裤子</v>
          </cell>
        </row>
        <row r="4">
          <cell r="A4" t="str">
            <v>JXG63605</v>
          </cell>
          <cell r="B4">
            <v>46113</v>
          </cell>
          <cell r="C4" t="str">
            <v>已齐</v>
          </cell>
        </row>
        <row r="4">
          <cell r="G4" t="str">
            <v>JYG64803</v>
          </cell>
          <cell r="H4">
            <v>46160</v>
          </cell>
        </row>
        <row r="4">
          <cell r="K4" t="str">
            <v>100-140</v>
          </cell>
          <cell r="L4" t="str">
            <v>中童</v>
          </cell>
          <cell r="M4" t="str">
            <v>儿童</v>
          </cell>
          <cell r="N4" t="str">
            <v>是</v>
          </cell>
        </row>
        <row r="4">
          <cell r="R4" t="str">
            <v>01裤子儿童</v>
          </cell>
          <cell r="S4" t="str">
            <v>儿童裤子</v>
          </cell>
        </row>
        <row r="4">
          <cell r="W4" t="str">
            <v>L</v>
          </cell>
          <cell r="X4" t="str">
            <v>01裤子</v>
          </cell>
        </row>
        <row r="5">
          <cell r="A5" t="str">
            <v>JKB63620</v>
          </cell>
          <cell r="B5">
            <v>46113</v>
          </cell>
          <cell r="C5" t="str">
            <v>已齐</v>
          </cell>
        </row>
        <row r="5">
          <cell r="G5" t="str">
            <v>JYN64804</v>
          </cell>
          <cell r="H5">
            <v>46160</v>
          </cell>
        </row>
        <row r="5">
          <cell r="K5" t="str">
            <v>100-150</v>
          </cell>
          <cell r="L5" t="str">
            <v>大童</v>
          </cell>
          <cell r="M5" t="str">
            <v>儿童</v>
          </cell>
          <cell r="N5" t="str">
            <v>是</v>
          </cell>
        </row>
        <row r="5">
          <cell r="R5" t="str">
            <v>02内衣套装儿童</v>
          </cell>
          <cell r="S5" t="str">
            <v>儿童保暖内衣/套装</v>
          </cell>
        </row>
        <row r="5">
          <cell r="W5" t="str">
            <v>N</v>
          </cell>
          <cell r="X5" t="str">
            <v>02内衣套装</v>
          </cell>
        </row>
        <row r="6">
          <cell r="A6" t="str">
            <v>JCB63804</v>
          </cell>
          <cell r="B6">
            <v>46118</v>
          </cell>
          <cell r="C6" t="str">
            <v>已齐</v>
          </cell>
        </row>
        <row r="6">
          <cell r="G6" t="str">
            <v>JYN64805</v>
          </cell>
          <cell r="H6">
            <v>46160</v>
          </cell>
        </row>
        <row r="6">
          <cell r="K6" t="str">
            <v>100-160</v>
          </cell>
          <cell r="L6" t="str">
            <v>大童</v>
          </cell>
          <cell r="M6" t="str">
            <v>儿童</v>
          </cell>
          <cell r="N6" t="str">
            <v>是</v>
          </cell>
        </row>
        <row r="6">
          <cell r="R6" t="str">
            <v>23内裤儿童</v>
          </cell>
          <cell r="S6" t="str">
            <v>儿童内裤</v>
          </cell>
        </row>
        <row r="6">
          <cell r="W6" t="str">
            <v>T</v>
          </cell>
          <cell r="X6" t="str">
            <v>03套装</v>
          </cell>
        </row>
        <row r="7">
          <cell r="A7" t="str">
            <v>JXB63807</v>
          </cell>
          <cell r="B7">
            <v>46118</v>
          </cell>
          <cell r="C7" t="str">
            <v>已齐</v>
          </cell>
        </row>
        <row r="7">
          <cell r="G7" t="str">
            <v>JYN64806</v>
          </cell>
          <cell r="H7">
            <v>46160</v>
          </cell>
        </row>
        <row r="7">
          <cell r="K7" t="str">
            <v>100-165</v>
          </cell>
          <cell r="L7" t="str">
            <v>大童</v>
          </cell>
          <cell r="M7" t="str">
            <v>儿童</v>
          </cell>
          <cell r="N7" t="str">
            <v>是</v>
          </cell>
        </row>
        <row r="7">
          <cell r="R7" t="str">
            <v>21棉袄/棉服儿童</v>
          </cell>
          <cell r="S7" t="str">
            <v>儿童棉服</v>
          </cell>
        </row>
        <row r="7">
          <cell r="W7" t="str">
            <v>H</v>
          </cell>
          <cell r="X7" t="str">
            <v>06连身衣/爬服</v>
          </cell>
        </row>
        <row r="8">
          <cell r="A8" t="str">
            <v>JCG63613</v>
          </cell>
          <cell r="B8">
            <v>46118</v>
          </cell>
          <cell r="C8" t="str">
            <v>已齐</v>
          </cell>
        </row>
        <row r="8">
          <cell r="G8" t="str">
            <v>JYG64807</v>
          </cell>
          <cell r="H8">
            <v>46160</v>
          </cell>
        </row>
        <row r="8">
          <cell r="K8" t="str">
            <v>110-140</v>
          </cell>
          <cell r="L8" t="str">
            <v>中童</v>
          </cell>
          <cell r="M8" t="str">
            <v>儿童</v>
          </cell>
          <cell r="N8" t="str">
            <v>否</v>
          </cell>
        </row>
        <row r="8">
          <cell r="R8" t="str">
            <v>28羽绒服儿童</v>
          </cell>
          <cell r="S8" t="str">
            <v>儿童羽绒服</v>
          </cell>
        </row>
        <row r="8">
          <cell r="W8" t="str">
            <v>M</v>
          </cell>
          <cell r="X8" t="str">
            <v>07毛衣/针织衫</v>
          </cell>
        </row>
        <row r="9">
          <cell r="A9" t="str">
            <v>JKG63614</v>
          </cell>
          <cell r="B9">
            <v>46120</v>
          </cell>
          <cell r="C9" t="str">
            <v>已齐</v>
          </cell>
        </row>
        <row r="9">
          <cell r="G9" t="str">
            <v>JYN64808</v>
          </cell>
          <cell r="H9">
            <v>46160</v>
          </cell>
        </row>
        <row r="9">
          <cell r="K9" t="str">
            <v>110-150</v>
          </cell>
          <cell r="L9" t="str">
            <v>大童</v>
          </cell>
          <cell r="M9" t="str">
            <v>儿童</v>
          </cell>
          <cell r="N9" t="str">
            <v>否</v>
          </cell>
        </row>
        <row r="9">
          <cell r="R9" t="str">
            <v>16背心吊带儿童</v>
          </cell>
          <cell r="S9" t="str">
            <v>儿童背心</v>
          </cell>
        </row>
        <row r="9">
          <cell r="W9" t="str">
            <v>Q</v>
          </cell>
          <cell r="X9" t="str">
            <v>08连衣裙</v>
          </cell>
        </row>
        <row r="10">
          <cell r="A10" t="str">
            <v>JXG63020</v>
          </cell>
          <cell r="B10">
            <v>46120</v>
          </cell>
          <cell r="C10" t="str">
            <v>已齐</v>
          </cell>
        </row>
        <row r="10">
          <cell r="G10" t="str">
            <v>JYN64809</v>
          </cell>
          <cell r="H10">
            <v>46157</v>
          </cell>
        </row>
        <row r="10">
          <cell r="K10" t="str">
            <v>110-160</v>
          </cell>
          <cell r="L10" t="str">
            <v>大童</v>
          </cell>
          <cell r="M10" t="str">
            <v>儿童</v>
          </cell>
          <cell r="N10" t="str">
            <v>否</v>
          </cell>
        </row>
        <row r="10">
          <cell r="R10" t="str">
            <v>10T恤儿童</v>
          </cell>
          <cell r="S10" t="str">
            <v>儿童T恤/POLO衫</v>
          </cell>
        </row>
        <row r="10">
          <cell r="W10" t="str">
            <v>Q</v>
          </cell>
          <cell r="X10" t="str">
            <v>09半身裙</v>
          </cell>
        </row>
        <row r="11">
          <cell r="A11" t="str">
            <v>JCG63802</v>
          </cell>
          <cell r="B11">
            <v>46122</v>
          </cell>
          <cell r="C11" t="str">
            <v>已齐</v>
          </cell>
        </row>
        <row r="11">
          <cell r="G11" t="str">
            <v>JTG63601</v>
          </cell>
          <cell r="H11">
            <v>46106</v>
          </cell>
        </row>
        <row r="11">
          <cell r="K11" t="str">
            <v>110-165</v>
          </cell>
          <cell r="L11" t="str">
            <v>大童</v>
          </cell>
          <cell r="M11" t="str">
            <v>儿童</v>
          </cell>
          <cell r="N11" t="str">
            <v>否</v>
          </cell>
        </row>
        <row r="11">
          <cell r="R11" t="str">
            <v>14衬衫儿童</v>
          </cell>
          <cell r="S11" t="str">
            <v>儿童衬衫</v>
          </cell>
        </row>
        <row r="11">
          <cell r="W11" t="str">
            <v>X</v>
          </cell>
          <cell r="X11" t="str">
            <v>10T恤</v>
          </cell>
        </row>
        <row r="12">
          <cell r="A12" t="str">
            <v>JLG63811</v>
          </cell>
          <cell r="B12">
            <v>46122</v>
          </cell>
          <cell r="C12" t="str">
            <v>已齐</v>
          </cell>
        </row>
        <row r="12">
          <cell r="G12" t="str">
            <v>JYG64501</v>
          </cell>
          <cell r="H12">
            <v>46157</v>
          </cell>
        </row>
        <row r="12">
          <cell r="K12" t="str">
            <v>120-150</v>
          </cell>
          <cell r="L12" t="str">
            <v>大童</v>
          </cell>
          <cell r="M12" t="str">
            <v>儿童</v>
          </cell>
          <cell r="N12" t="str">
            <v>否</v>
          </cell>
        </row>
        <row r="12">
          <cell r="R12" t="str">
            <v>33唐装儿童</v>
          </cell>
          <cell r="S12" t="str">
            <v>儿童旗袍/汉服</v>
          </cell>
        </row>
        <row r="12">
          <cell r="W12" t="str">
            <v>G</v>
          </cell>
          <cell r="X12" t="str">
            <v>11马甲</v>
          </cell>
        </row>
        <row r="13">
          <cell r="A13" t="str">
            <v>JKB63510</v>
          </cell>
          <cell r="B13">
            <v>46122</v>
          </cell>
          <cell r="C13" t="str">
            <v>已齐</v>
          </cell>
        </row>
        <row r="13">
          <cell r="G13" t="str">
            <v>JYG64502</v>
          </cell>
          <cell r="H13">
            <v>46157</v>
          </cell>
        </row>
        <row r="13">
          <cell r="K13" t="str">
            <v>120-160</v>
          </cell>
          <cell r="L13" t="str">
            <v>大童</v>
          </cell>
          <cell r="M13" t="str">
            <v>儿童</v>
          </cell>
          <cell r="N13" t="str">
            <v>否</v>
          </cell>
        </row>
        <row r="13">
          <cell r="R13" t="str">
            <v>13外套儿童</v>
          </cell>
          <cell r="S13" t="str">
            <v>儿童外套/夹克/风衣</v>
          </cell>
        </row>
        <row r="13">
          <cell r="W13" t="str">
            <v>R</v>
          </cell>
          <cell r="X13" t="str">
            <v>12卫衣/绒衫</v>
          </cell>
        </row>
        <row r="14">
          <cell r="A14" t="str">
            <v>JRG63515</v>
          </cell>
          <cell r="B14">
            <v>46122</v>
          </cell>
          <cell r="C14" t="str">
            <v>已齐</v>
          </cell>
        </row>
        <row r="14">
          <cell r="G14" t="str">
            <v>JLG63501</v>
          </cell>
          <cell r="H14">
            <v>46106</v>
          </cell>
        </row>
        <row r="14">
          <cell r="K14" t="str">
            <v>120-165</v>
          </cell>
          <cell r="L14" t="str">
            <v>大童</v>
          </cell>
          <cell r="M14" t="str">
            <v>儿童</v>
          </cell>
          <cell r="N14" t="str">
            <v>否</v>
          </cell>
        </row>
        <row r="14">
          <cell r="R14" t="str">
            <v>08连衣裙儿童</v>
          </cell>
          <cell r="S14" t="str">
            <v>儿童裙子</v>
          </cell>
        </row>
        <row r="14">
          <cell r="W14" t="str">
            <v>J</v>
          </cell>
          <cell r="X14" t="str">
            <v>13外套</v>
          </cell>
        </row>
        <row r="15">
          <cell r="A15" t="str">
            <v>JKG63521</v>
          </cell>
          <cell r="B15">
            <v>46122</v>
          </cell>
          <cell r="C15" t="str">
            <v>已齐</v>
          </cell>
        </row>
        <row r="15">
          <cell r="G15" t="str">
            <v>JYN64601</v>
          </cell>
          <cell r="H15">
            <v>46160</v>
          </cell>
        </row>
        <row r="15">
          <cell r="K15" t="str">
            <v>120-170</v>
          </cell>
          <cell r="L15" t="str">
            <v>大童</v>
          </cell>
          <cell r="M15" t="str">
            <v>儿童</v>
          </cell>
          <cell r="N15" t="str">
            <v>否</v>
          </cell>
        </row>
        <row r="15">
          <cell r="R15" t="str">
            <v>11马甲儿童</v>
          </cell>
          <cell r="S15" t="str">
            <v>儿童马甲</v>
          </cell>
        </row>
        <row r="15">
          <cell r="W15" t="str">
            <v>C</v>
          </cell>
          <cell r="X15" t="str">
            <v>14衬衫</v>
          </cell>
        </row>
        <row r="16">
          <cell r="A16" t="str">
            <v>JTG63601</v>
          </cell>
          <cell r="B16">
            <v>46125</v>
          </cell>
          <cell r="C16" t="str">
            <v>已齐</v>
          </cell>
        </row>
        <row r="16">
          <cell r="G16" t="str">
            <v>JYN64810</v>
          </cell>
          <cell r="H16">
            <v>46178</v>
          </cell>
        </row>
        <row r="16">
          <cell r="K16" t="str">
            <v>130-160</v>
          </cell>
          <cell r="L16" t="str">
            <v>大童</v>
          </cell>
          <cell r="M16" t="str">
            <v>儿童</v>
          </cell>
          <cell r="N16" t="str">
            <v>否</v>
          </cell>
        </row>
        <row r="16">
          <cell r="R16" t="str">
            <v>30家居服套装儿童</v>
          </cell>
          <cell r="S16" t="str">
            <v>儿童睡衣家居服</v>
          </cell>
        </row>
        <row r="16">
          <cell r="W16" t="str">
            <v>B</v>
          </cell>
          <cell r="X16" t="str">
            <v>16背心吊带</v>
          </cell>
        </row>
        <row r="17">
          <cell r="A17" t="str">
            <v>JTN63539</v>
          </cell>
          <cell r="B17">
            <v>46125</v>
          </cell>
          <cell r="C17" t="str">
            <v>已齐</v>
          </cell>
        </row>
        <row r="17">
          <cell r="G17" t="str">
            <v>JJG63801</v>
          </cell>
          <cell r="H17">
            <v>46092</v>
          </cell>
        </row>
        <row r="17">
          <cell r="K17" t="str">
            <v>130-170</v>
          </cell>
          <cell r="L17" t="str">
            <v>大童</v>
          </cell>
          <cell r="M17" t="str">
            <v>儿童</v>
          </cell>
          <cell r="N17" t="str">
            <v>否</v>
          </cell>
        </row>
        <row r="17">
          <cell r="R17" t="str">
            <v>20发育内衣/抹胸儿童</v>
          </cell>
          <cell r="S17" t="str">
            <v>儿童文胸</v>
          </cell>
        </row>
        <row r="17">
          <cell r="W17" t="str">
            <v>P</v>
          </cell>
          <cell r="X17" t="str">
            <v>17斗篷</v>
          </cell>
        </row>
        <row r="18">
          <cell r="A18" t="str">
            <v>JXB63017</v>
          </cell>
          <cell r="B18">
            <v>46125</v>
          </cell>
          <cell r="C18" t="str">
            <v>已齐</v>
          </cell>
        </row>
        <row r="18">
          <cell r="G18" t="str">
            <v>JCG63802</v>
          </cell>
          <cell r="H18">
            <v>46091</v>
          </cell>
        </row>
        <row r="18">
          <cell r="K18" t="str">
            <v>155-165</v>
          </cell>
          <cell r="L18" t="str">
            <v>大童</v>
          </cell>
          <cell r="M18" t="str">
            <v>儿童</v>
          </cell>
          <cell r="N18" t="str">
            <v>否</v>
          </cell>
        </row>
        <row r="18">
          <cell r="R18" t="str">
            <v>17斗篷儿童</v>
          </cell>
          <cell r="S18" t="str">
            <v>儿童披肩/斗篷</v>
          </cell>
        </row>
        <row r="18">
          <cell r="W18" t="str">
            <v>V</v>
          </cell>
          <cell r="X18" t="str">
            <v>18围巾</v>
          </cell>
        </row>
        <row r="19">
          <cell r="A19" t="str">
            <v>JKG63547</v>
          </cell>
          <cell r="B19">
            <v>46125</v>
          </cell>
          <cell r="C19" t="str">
            <v>已齐</v>
          </cell>
        </row>
        <row r="19">
          <cell r="G19" t="str">
            <v>JTG63803</v>
          </cell>
          <cell r="H19">
            <v>46093</v>
          </cell>
        </row>
        <row r="19">
          <cell r="K19" t="str">
            <v>160-170</v>
          </cell>
          <cell r="L19" t="str">
            <v>大童</v>
          </cell>
          <cell r="M19" t="str">
            <v>儿童</v>
          </cell>
          <cell r="N19" t="str">
            <v>否</v>
          </cell>
        </row>
        <row r="19">
          <cell r="R19" t="str">
            <v>09半身裙儿童</v>
          </cell>
          <cell r="S19" t="str">
            <v>儿童裙子</v>
          </cell>
        </row>
        <row r="19">
          <cell r="W19" t="str">
            <v>A</v>
          </cell>
          <cell r="X19" t="str">
            <v>21棉袄/棉服</v>
          </cell>
        </row>
        <row r="20">
          <cell r="A20" t="str">
            <v>JKG65505</v>
          </cell>
          <cell r="B20">
            <v>46127</v>
          </cell>
          <cell r="C20" t="str">
            <v>已齐</v>
          </cell>
        </row>
        <row r="20">
          <cell r="G20" t="str">
            <v>JCB63804</v>
          </cell>
          <cell r="H20">
            <v>46092</v>
          </cell>
        </row>
        <row r="20">
          <cell r="K20" t="str">
            <v>160-175</v>
          </cell>
          <cell r="L20" t="str">
            <v>大童</v>
          </cell>
          <cell r="M20" t="str">
            <v>儿童</v>
          </cell>
          <cell r="N20" t="str">
            <v>否</v>
          </cell>
        </row>
        <row r="20">
          <cell r="R20" t="str">
            <v>12卫衣/绒衫儿童</v>
          </cell>
          <cell r="S20" t="str">
            <v>儿童卫衣</v>
          </cell>
        </row>
        <row r="20">
          <cell r="W20" t="str">
            <v>W</v>
          </cell>
          <cell r="X20" t="str">
            <v>22儿童袜子</v>
          </cell>
        </row>
        <row r="21">
          <cell r="A21" t="str">
            <v>JGG63519</v>
          </cell>
          <cell r="B21">
            <v>46127</v>
          </cell>
          <cell r="C21" t="str">
            <v>已齐</v>
          </cell>
        </row>
        <row r="21">
          <cell r="G21" t="str">
            <v>JMB63805</v>
          </cell>
          <cell r="H21">
            <v>46101</v>
          </cell>
        </row>
        <row r="21">
          <cell r="K21" t="str">
            <v>175-185</v>
          </cell>
          <cell r="L21" t="str">
            <v>大童</v>
          </cell>
          <cell r="M21" t="str">
            <v>儿童</v>
          </cell>
          <cell r="N21" t="str">
            <v>否</v>
          </cell>
        </row>
        <row r="21">
          <cell r="R21" t="str">
            <v>29泳装儿童</v>
          </cell>
          <cell r="S21" t="str">
            <v>儿童泳装泳具</v>
          </cell>
        </row>
        <row r="21">
          <cell r="W21" t="str">
            <v>N</v>
          </cell>
          <cell r="X21" t="str">
            <v>23内裤</v>
          </cell>
        </row>
        <row r="22">
          <cell r="A22" t="str">
            <v>JLG63604</v>
          </cell>
          <cell r="B22">
            <v>46127</v>
          </cell>
          <cell r="C22" t="str">
            <v>已齐</v>
          </cell>
        </row>
        <row r="22">
          <cell r="G22" t="str">
            <v>JXB63807</v>
          </cell>
          <cell r="H22">
            <v>46091</v>
          </cell>
        </row>
        <row r="22">
          <cell r="K22" t="str">
            <v>50-52</v>
          </cell>
          <cell r="L22" t="str">
            <v>婴童</v>
          </cell>
          <cell r="M22" t="str">
            <v>婴幼</v>
          </cell>
          <cell r="N22" t="str">
            <v>是</v>
          </cell>
        </row>
        <row r="22">
          <cell r="R22" t="str">
            <v>31帽子儿童</v>
          </cell>
          <cell r="S22" t="str">
            <v>儿童配饰配件</v>
          </cell>
        </row>
        <row r="22">
          <cell r="W22" t="str">
            <v>Y</v>
          </cell>
          <cell r="X22" t="str">
            <v>28羽绒服</v>
          </cell>
        </row>
        <row r="23">
          <cell r="A23" t="str">
            <v>JQG63527</v>
          </cell>
          <cell r="B23">
            <v>46127</v>
          </cell>
          <cell r="C23" t="str">
            <v>已齐</v>
          </cell>
        </row>
        <row r="23">
          <cell r="G23" t="str">
            <v>JTB63808</v>
          </cell>
          <cell r="H23">
            <v>46092</v>
          </cell>
        </row>
        <row r="23">
          <cell r="K23" t="str">
            <v>52-73</v>
          </cell>
          <cell r="L23" t="str">
            <v>婴童</v>
          </cell>
          <cell r="M23" t="str">
            <v>婴幼</v>
          </cell>
          <cell r="N23" t="str">
            <v>是</v>
          </cell>
        </row>
        <row r="23">
          <cell r="R23" t="str">
            <v>18围巾儿童</v>
          </cell>
          <cell r="S23" t="str">
            <v>儿童配饰配件</v>
          </cell>
        </row>
        <row r="23">
          <cell r="W23" t="str">
            <v>S</v>
          </cell>
          <cell r="X23" t="str">
            <v>29泳装</v>
          </cell>
        </row>
        <row r="24">
          <cell r="A24" t="str">
            <v>JLG63518</v>
          </cell>
          <cell r="B24">
            <v>46129</v>
          </cell>
          <cell r="C24" t="str">
            <v>已齐</v>
          </cell>
        </row>
        <row r="24">
          <cell r="G24" t="str">
            <v>JTB63809</v>
          </cell>
          <cell r="H24">
            <v>46092</v>
          </cell>
        </row>
        <row r="24">
          <cell r="K24" t="str">
            <v>59-100</v>
          </cell>
          <cell r="L24" t="str">
            <v>婴童</v>
          </cell>
          <cell r="M24" t="str">
            <v>婴幼</v>
          </cell>
          <cell r="N24" t="str">
            <v>是</v>
          </cell>
        </row>
        <row r="24">
          <cell r="R24" t="str">
            <v>27儿童配饰儿童</v>
          </cell>
          <cell r="S24" t="str">
            <v>儿童配饰配件</v>
          </cell>
        </row>
        <row r="24">
          <cell r="W24" t="str">
            <v>Z</v>
          </cell>
          <cell r="X24" t="str">
            <v>30家居服套装</v>
          </cell>
        </row>
        <row r="25">
          <cell r="A25" t="str">
            <v>JJB63618</v>
          </cell>
          <cell r="B25">
            <v>46129</v>
          </cell>
          <cell r="C25" t="str">
            <v>已齐</v>
          </cell>
        </row>
        <row r="25">
          <cell r="G25" t="str">
            <v>JTG63810</v>
          </cell>
          <cell r="H25">
            <v>46111</v>
          </cell>
        </row>
        <row r="25">
          <cell r="K25" t="str">
            <v>59-73</v>
          </cell>
          <cell r="L25" t="str">
            <v>婴童</v>
          </cell>
          <cell r="M25" t="str">
            <v>婴幼</v>
          </cell>
          <cell r="N25" t="str">
            <v>是</v>
          </cell>
        </row>
        <row r="25">
          <cell r="R25" t="str">
            <v>22儿童袜子儿童</v>
          </cell>
          <cell r="S25" t="str">
            <v>儿童袜子</v>
          </cell>
        </row>
        <row r="25">
          <cell r="W25" t="str">
            <v>V</v>
          </cell>
          <cell r="X25" t="str">
            <v>31帽子</v>
          </cell>
        </row>
        <row r="26">
          <cell r="A26" t="str">
            <v>JGB63619</v>
          </cell>
          <cell r="B26">
            <v>46129</v>
          </cell>
          <cell r="C26" t="str">
            <v>已齐</v>
          </cell>
        </row>
        <row r="26">
          <cell r="G26" t="str">
            <v>JGN64811</v>
          </cell>
          <cell r="H26">
            <v>46111</v>
          </cell>
        </row>
        <row r="26">
          <cell r="K26" t="str">
            <v>59-90</v>
          </cell>
          <cell r="L26" t="str">
            <v>婴童</v>
          </cell>
          <cell r="M26" t="str">
            <v>婴幼</v>
          </cell>
          <cell r="N26" t="str">
            <v>是</v>
          </cell>
        </row>
        <row r="26">
          <cell r="R26" t="str">
            <v>03套装婴幼</v>
          </cell>
          <cell r="S26" t="str">
            <v>婴幼套装</v>
          </cell>
        </row>
        <row r="26">
          <cell r="W26" t="str">
            <v>F</v>
          </cell>
          <cell r="X26" t="str">
            <v>32亲子装/亲子时装</v>
          </cell>
        </row>
        <row r="27">
          <cell r="A27" t="str">
            <v>JXB63008</v>
          </cell>
          <cell r="B27">
            <v>46129</v>
          </cell>
          <cell r="C27" t="str">
            <v>已齐</v>
          </cell>
        </row>
        <row r="27">
          <cell r="G27" t="str">
            <v>JJN65801</v>
          </cell>
          <cell r="H27">
            <v>46127</v>
          </cell>
        </row>
        <row r="27">
          <cell r="K27" t="str">
            <v>66-100</v>
          </cell>
          <cell r="L27" t="str">
            <v>婴童</v>
          </cell>
          <cell r="M27" t="str">
            <v>婴幼</v>
          </cell>
          <cell r="N27" t="str">
            <v>是</v>
          </cell>
        </row>
        <row r="27">
          <cell r="R27" t="str">
            <v>07毛衣/针织衫婴幼</v>
          </cell>
          <cell r="S27" t="str">
            <v>婴幼毛衣/线衫</v>
          </cell>
        </row>
        <row r="27">
          <cell r="W27" t="str">
            <v>E</v>
          </cell>
          <cell r="X27" t="str">
            <v>33唐装</v>
          </cell>
        </row>
        <row r="28">
          <cell r="A28" t="str">
            <v>JXG63551</v>
          </cell>
          <cell r="B28">
            <v>46129</v>
          </cell>
          <cell r="C28" t="str">
            <v>已齐</v>
          </cell>
        </row>
        <row r="28">
          <cell r="G28" t="str">
            <v>JAG64813</v>
          </cell>
          <cell r="H28">
            <v>46111</v>
          </cell>
        </row>
        <row r="28">
          <cell r="K28" t="str">
            <v>66-110</v>
          </cell>
          <cell r="L28" t="str">
            <v>小童</v>
          </cell>
          <cell r="M28" t="str">
            <v>婴幼</v>
          </cell>
          <cell r="N28" t="str">
            <v>是</v>
          </cell>
        </row>
        <row r="28">
          <cell r="R28" t="str">
            <v>01裤子婴幼</v>
          </cell>
          <cell r="S28" t="str">
            <v>婴幼裤子</v>
          </cell>
        </row>
        <row r="28">
          <cell r="W28" t="str">
            <v>N</v>
          </cell>
          <cell r="X28" t="str">
            <v>20发育内衣/抹胸</v>
          </cell>
        </row>
        <row r="29">
          <cell r="A29" t="str">
            <v>JLG63501</v>
          </cell>
          <cell r="B29">
            <v>46132</v>
          </cell>
          <cell r="C29" t="str">
            <v>已齐</v>
          </cell>
        </row>
        <row r="29">
          <cell r="G29" t="str">
            <v>JLG63811</v>
          </cell>
          <cell r="H29">
            <v>46093</v>
          </cell>
        </row>
        <row r="29">
          <cell r="K29" t="str">
            <v>66-130</v>
          </cell>
          <cell r="L29" t="str">
            <v>中童</v>
          </cell>
          <cell r="M29" t="str">
            <v>婴幼</v>
          </cell>
          <cell r="N29" t="str">
            <v>是</v>
          </cell>
        </row>
        <row r="29">
          <cell r="R29" t="str">
            <v>02内衣套装婴幼</v>
          </cell>
          <cell r="S29" t="str">
            <v>婴幼内衣内裤</v>
          </cell>
        </row>
        <row r="29">
          <cell r="W29" t="str">
            <v>I</v>
          </cell>
          <cell r="X29" t="str">
            <v>25婴儿礼盒</v>
          </cell>
        </row>
        <row r="30">
          <cell r="A30" t="str">
            <v>JJG63801</v>
          </cell>
          <cell r="B30">
            <v>46132</v>
          </cell>
          <cell r="C30" t="str">
            <v>已齐</v>
          </cell>
        </row>
        <row r="30">
          <cell r="G30" t="str">
            <v>JLG63001</v>
          </cell>
          <cell r="H30">
            <v>46093</v>
          </cell>
        </row>
        <row r="30">
          <cell r="K30" t="str">
            <v>66-80</v>
          </cell>
          <cell r="L30" t="str">
            <v>婴童</v>
          </cell>
          <cell r="M30" t="str">
            <v>婴幼</v>
          </cell>
          <cell r="N30" t="str">
            <v>是</v>
          </cell>
        </row>
        <row r="30">
          <cell r="R30" t="str">
            <v>23内裤婴幼</v>
          </cell>
          <cell r="S30" t="str">
            <v>婴幼内衣内裤</v>
          </cell>
        </row>
        <row r="31">
          <cell r="A31" t="str">
            <v>JTB63809</v>
          </cell>
          <cell r="B31">
            <v>46132</v>
          </cell>
          <cell r="C31" t="str">
            <v>已齐</v>
          </cell>
        </row>
        <row r="31">
          <cell r="G31" t="str">
            <v>JJG65001</v>
          </cell>
          <cell r="H31">
            <v>46127</v>
          </cell>
        </row>
        <row r="31">
          <cell r="K31" t="str">
            <v>66-90</v>
          </cell>
          <cell r="L31" t="str">
            <v>婴童</v>
          </cell>
          <cell r="M31" t="str">
            <v>婴幼</v>
          </cell>
          <cell r="N31" t="str">
            <v>是</v>
          </cell>
        </row>
        <row r="31">
          <cell r="R31" t="str">
            <v>21棉袄/棉服婴幼</v>
          </cell>
          <cell r="S31" t="str">
            <v>婴幼棉服</v>
          </cell>
        </row>
        <row r="32">
          <cell r="A32" t="str">
            <v>JDG63503</v>
          </cell>
          <cell r="B32">
            <v>46132</v>
          </cell>
          <cell r="C32" t="str">
            <v>已齐</v>
          </cell>
        </row>
        <row r="32">
          <cell r="G32" t="str">
            <v>JKG65002</v>
          </cell>
          <cell r="H32">
            <v>46127</v>
          </cell>
        </row>
        <row r="32">
          <cell r="K32" t="str">
            <v>73-100</v>
          </cell>
          <cell r="L32" t="str">
            <v>婴童</v>
          </cell>
          <cell r="M32" t="str">
            <v>婴幼</v>
          </cell>
          <cell r="N32" t="str">
            <v>是</v>
          </cell>
        </row>
        <row r="32">
          <cell r="R32" t="str">
            <v>28羽绒服婴幼</v>
          </cell>
          <cell r="S32" t="str">
            <v>婴幼羽绒服</v>
          </cell>
        </row>
        <row r="33">
          <cell r="A33" t="str">
            <v>JLB63508</v>
          </cell>
          <cell r="B33">
            <v>46132</v>
          </cell>
          <cell r="C33" t="str">
            <v>已齐</v>
          </cell>
        </row>
        <row r="33">
          <cell r="G33" t="str">
            <v>JJG64503</v>
          </cell>
          <cell r="H33">
            <v>46111</v>
          </cell>
        </row>
        <row r="33">
          <cell r="K33" t="str">
            <v>73-110</v>
          </cell>
          <cell r="L33" t="str">
            <v>小童</v>
          </cell>
          <cell r="M33" t="str">
            <v>婴幼</v>
          </cell>
          <cell r="N33" t="str">
            <v>是</v>
          </cell>
        </row>
        <row r="33">
          <cell r="R33" t="str">
            <v>16背心吊带婴幼</v>
          </cell>
          <cell r="S33" t="str">
            <v>婴幼背心/马甲</v>
          </cell>
        </row>
        <row r="34">
          <cell r="A34" t="str">
            <v>JLB63509</v>
          </cell>
          <cell r="B34">
            <v>46132</v>
          </cell>
          <cell r="C34" t="str">
            <v>已齐</v>
          </cell>
        </row>
        <row r="34">
          <cell r="G34" t="str">
            <v>JDG63503</v>
          </cell>
          <cell r="H34">
            <v>46092</v>
          </cell>
        </row>
        <row r="34">
          <cell r="K34" t="str">
            <v>73-120</v>
          </cell>
          <cell r="L34" t="str">
            <v>小童</v>
          </cell>
          <cell r="M34" t="str">
            <v>婴幼</v>
          </cell>
          <cell r="N34" t="str">
            <v>是</v>
          </cell>
        </row>
        <row r="34">
          <cell r="R34" t="str">
            <v>10T恤婴幼</v>
          </cell>
          <cell r="S34" t="str">
            <v>婴幼T恤</v>
          </cell>
        </row>
        <row r="35">
          <cell r="A35" t="str">
            <v>JXG63603</v>
          </cell>
          <cell r="B35">
            <v>46132</v>
          </cell>
          <cell r="C35" t="str">
            <v>已齐</v>
          </cell>
        </row>
        <row r="35">
          <cell r="G35" t="str">
            <v>JKG65505</v>
          </cell>
          <cell r="H35">
            <v>46127</v>
          </cell>
        </row>
        <row r="35">
          <cell r="K35" t="str">
            <v>73-130</v>
          </cell>
          <cell r="L35" t="str">
            <v>中童</v>
          </cell>
          <cell r="M35" t="str">
            <v>婴幼</v>
          </cell>
          <cell r="N35" t="str">
            <v>是</v>
          </cell>
        </row>
        <row r="35">
          <cell r="R35" t="str">
            <v>14衬衫婴幼</v>
          </cell>
          <cell r="S35" t="str">
            <v>婴幼衬衫</v>
          </cell>
        </row>
        <row r="36">
          <cell r="A36" t="str">
            <v>JLG63607</v>
          </cell>
          <cell r="B36">
            <v>46132</v>
          </cell>
          <cell r="C36" t="str">
            <v>已齐</v>
          </cell>
        </row>
        <row r="36">
          <cell r="G36" t="str">
            <v>JKG63506</v>
          </cell>
          <cell r="H36">
            <v>46092</v>
          </cell>
        </row>
        <row r="36">
          <cell r="K36" t="str">
            <v>73-140</v>
          </cell>
          <cell r="L36" t="str">
            <v>中童</v>
          </cell>
          <cell r="M36" t="str">
            <v>儿童</v>
          </cell>
          <cell r="N36" t="str">
            <v>是</v>
          </cell>
        </row>
        <row r="36">
          <cell r="R36" t="str">
            <v>13外套婴幼</v>
          </cell>
          <cell r="S36" t="str">
            <v>婴幼外套/风衣</v>
          </cell>
        </row>
        <row r="37">
          <cell r="A37" t="str">
            <v>JJG63615</v>
          </cell>
          <cell r="B37">
            <v>46132</v>
          </cell>
          <cell r="C37" t="str">
            <v>已齐</v>
          </cell>
        </row>
        <row r="37">
          <cell r="G37" t="str">
            <v>JKB63507</v>
          </cell>
          <cell r="H37">
            <v>46092</v>
          </cell>
        </row>
        <row r="37">
          <cell r="K37" t="str">
            <v>73-150</v>
          </cell>
          <cell r="L37" t="str">
            <v>中童</v>
          </cell>
          <cell r="M37" t="str">
            <v>儿童</v>
          </cell>
          <cell r="N37" t="str">
            <v>是</v>
          </cell>
        </row>
        <row r="37">
          <cell r="R37" t="str">
            <v>08连衣裙婴幼</v>
          </cell>
          <cell r="S37" t="str">
            <v>婴幼裙子</v>
          </cell>
        </row>
        <row r="38">
          <cell r="A38" t="str">
            <v>JQG63002</v>
          </cell>
          <cell r="B38">
            <v>46132</v>
          </cell>
          <cell r="C38" t="str">
            <v>已齐</v>
          </cell>
        </row>
        <row r="38">
          <cell r="G38" t="str">
            <v>JLB63508</v>
          </cell>
          <cell r="H38">
            <v>46092</v>
          </cell>
        </row>
        <row r="38">
          <cell r="K38" t="str">
            <v>73-90</v>
          </cell>
          <cell r="L38" t="str">
            <v>婴童</v>
          </cell>
          <cell r="M38" t="str">
            <v>婴幼</v>
          </cell>
          <cell r="N38" t="str">
            <v>是</v>
          </cell>
        </row>
        <row r="38">
          <cell r="R38" t="str">
            <v>11马甲婴幼</v>
          </cell>
          <cell r="S38" t="str">
            <v>婴幼背心/马甲</v>
          </cell>
        </row>
        <row r="39">
          <cell r="A39" t="str">
            <v>JJG63003</v>
          </cell>
          <cell r="B39">
            <v>46132</v>
          </cell>
          <cell r="C39" t="str">
            <v>已齐</v>
          </cell>
        </row>
        <row r="39">
          <cell r="G39" t="str">
            <v>JLB63509</v>
          </cell>
          <cell r="H39">
            <v>46093</v>
          </cell>
        </row>
        <row r="39">
          <cell r="K39" t="str">
            <v>80-100</v>
          </cell>
          <cell r="L39" t="str">
            <v>婴童</v>
          </cell>
          <cell r="M39" t="str">
            <v>婴幼</v>
          </cell>
          <cell r="N39" t="str">
            <v>是</v>
          </cell>
        </row>
        <row r="39">
          <cell r="R39" t="str">
            <v>06连身衣/爬服婴幼</v>
          </cell>
          <cell r="S39" t="str">
            <v>哈衣/爬服/连体服</v>
          </cell>
        </row>
        <row r="40">
          <cell r="A40" t="str">
            <v>JTG63536</v>
          </cell>
          <cell r="B40">
            <v>46132</v>
          </cell>
          <cell r="C40" t="str">
            <v>已齐</v>
          </cell>
        </row>
        <row r="40">
          <cell r="G40" t="str">
            <v>JKB63510</v>
          </cell>
          <cell r="H40">
            <v>46091</v>
          </cell>
        </row>
        <row r="40">
          <cell r="K40" t="str">
            <v>80-110</v>
          </cell>
          <cell r="L40" t="str">
            <v>小童</v>
          </cell>
          <cell r="M40" t="str">
            <v>婴幼</v>
          </cell>
          <cell r="N40" t="str">
            <v>是</v>
          </cell>
        </row>
        <row r="40">
          <cell r="R40" t="str">
            <v>30家居服套装婴幼</v>
          </cell>
          <cell r="S40" t="str">
            <v>婴幼家居服</v>
          </cell>
        </row>
        <row r="41">
          <cell r="A41" t="str">
            <v>JKN63537</v>
          </cell>
          <cell r="B41">
            <v>46132</v>
          </cell>
          <cell r="C41" t="str">
            <v>已齐</v>
          </cell>
        </row>
        <row r="41">
          <cell r="G41" t="str">
            <v>JTG63513</v>
          </cell>
          <cell r="H41">
            <v>46111</v>
          </cell>
        </row>
        <row r="41">
          <cell r="K41" t="str">
            <v>80-120</v>
          </cell>
          <cell r="L41" t="str">
            <v>小童</v>
          </cell>
          <cell r="M41" t="str">
            <v>婴幼</v>
          </cell>
          <cell r="N41" t="str">
            <v>是</v>
          </cell>
        </row>
        <row r="41">
          <cell r="R41" t="str">
            <v>17斗篷婴幼</v>
          </cell>
          <cell r="S41" t="str">
            <v>婴幼披风/斗篷</v>
          </cell>
        </row>
        <row r="42">
          <cell r="A42" t="str">
            <v>JXG63526</v>
          </cell>
          <cell r="B42">
            <v>46132</v>
          </cell>
          <cell r="C42" t="str">
            <v>已齐</v>
          </cell>
        </row>
        <row r="42">
          <cell r="G42" t="str">
            <v>JTG63514</v>
          </cell>
          <cell r="H42">
            <v>46111</v>
          </cell>
        </row>
        <row r="42">
          <cell r="K42" t="str">
            <v>80-130</v>
          </cell>
          <cell r="L42" t="str">
            <v>中童</v>
          </cell>
          <cell r="M42" t="str">
            <v>婴幼</v>
          </cell>
          <cell r="N42" t="str">
            <v>是</v>
          </cell>
        </row>
        <row r="42">
          <cell r="R42" t="str">
            <v>09半身裙婴幼</v>
          </cell>
          <cell r="S42" t="str">
            <v>婴幼裙子</v>
          </cell>
        </row>
        <row r="43">
          <cell r="A43" t="str">
            <v>JXB63540</v>
          </cell>
          <cell r="B43">
            <v>46132</v>
          </cell>
          <cell r="C43" t="str">
            <v>已齐</v>
          </cell>
        </row>
        <row r="43">
          <cell r="G43" t="str">
            <v>JRG63515</v>
          </cell>
          <cell r="H43">
            <v>46092</v>
          </cell>
        </row>
        <row r="43">
          <cell r="K43" t="str">
            <v>80-140</v>
          </cell>
          <cell r="L43" t="str">
            <v>中童</v>
          </cell>
          <cell r="M43" t="str">
            <v>儿童</v>
          </cell>
          <cell r="N43" t="str">
            <v>是</v>
          </cell>
        </row>
        <row r="43">
          <cell r="R43" t="str">
            <v>12卫衣/绒衫婴幼</v>
          </cell>
          <cell r="S43" t="str">
            <v>婴幼卫衣/运动服</v>
          </cell>
        </row>
        <row r="44">
          <cell r="A44" t="str">
            <v>JXG63013</v>
          </cell>
          <cell r="B44">
            <v>46132</v>
          </cell>
          <cell r="C44" t="str">
            <v>已齐</v>
          </cell>
        </row>
        <row r="44">
          <cell r="G44" t="str">
            <v>JXG63517</v>
          </cell>
          <cell r="H44">
            <v>46092</v>
          </cell>
        </row>
        <row r="44">
          <cell r="K44" t="str">
            <v>80-150</v>
          </cell>
          <cell r="L44" t="str">
            <v>大童</v>
          </cell>
          <cell r="M44" t="str">
            <v>儿童</v>
          </cell>
          <cell r="N44" t="str">
            <v>是</v>
          </cell>
        </row>
        <row r="44">
          <cell r="R44" t="str">
            <v>29泳装婴幼</v>
          </cell>
          <cell r="S44" t="str">
            <v>婴幼泳装泳具</v>
          </cell>
        </row>
        <row r="45">
          <cell r="A45" t="str">
            <v>JRG63543</v>
          </cell>
          <cell r="B45">
            <v>46132</v>
          </cell>
          <cell r="C45" t="str">
            <v>已齐</v>
          </cell>
        </row>
        <row r="45">
          <cell r="G45" t="str">
            <v>JLG63518</v>
          </cell>
          <cell r="H45">
            <v>46093</v>
          </cell>
        </row>
        <row r="45">
          <cell r="K45" t="str">
            <v>80-160</v>
          </cell>
          <cell r="L45" t="str">
            <v>大童</v>
          </cell>
          <cell r="M45" t="str">
            <v>儿童</v>
          </cell>
          <cell r="N45" t="str">
            <v>是</v>
          </cell>
        </row>
        <row r="45">
          <cell r="R45" t="str">
            <v>31帽子婴幼</v>
          </cell>
          <cell r="S45" t="str">
            <v>婴幼配饰</v>
          </cell>
        </row>
        <row r="46">
          <cell r="A46" t="str">
            <v>JKN63546</v>
          </cell>
          <cell r="B46">
            <v>46132</v>
          </cell>
          <cell r="C46" t="str">
            <v>已齐</v>
          </cell>
        </row>
        <row r="46">
          <cell r="G46" t="str">
            <v>JGG63519</v>
          </cell>
          <cell r="H46">
            <v>46106</v>
          </cell>
        </row>
        <row r="46">
          <cell r="K46" t="str">
            <v>80-170</v>
          </cell>
          <cell r="L46" t="str">
            <v>大童</v>
          </cell>
          <cell r="M46" t="str">
            <v>儿童</v>
          </cell>
          <cell r="N46" t="str">
            <v>是</v>
          </cell>
        </row>
        <row r="46">
          <cell r="R46" t="str">
            <v>18围巾婴幼</v>
          </cell>
          <cell r="S46" t="str">
            <v>婴幼配饰</v>
          </cell>
        </row>
        <row r="47">
          <cell r="A47" t="str">
            <v>JXG63549</v>
          </cell>
          <cell r="B47">
            <v>46132</v>
          </cell>
          <cell r="C47" t="str">
            <v>已齐</v>
          </cell>
          <cell r="D47" t="str">
            <v>无成分唛</v>
          </cell>
        </row>
        <row r="47">
          <cell r="G47" t="str">
            <v>JXG63603</v>
          </cell>
          <cell r="H47">
            <v>46091</v>
          </cell>
        </row>
        <row r="47">
          <cell r="K47" t="str">
            <v>80-185</v>
          </cell>
          <cell r="L47" t="str">
            <v>大童</v>
          </cell>
          <cell r="M47" t="str">
            <v>儿童</v>
          </cell>
          <cell r="N47" t="str">
            <v>是</v>
          </cell>
        </row>
        <row r="47">
          <cell r="R47" t="str">
            <v>27儿童配饰婴幼</v>
          </cell>
          <cell r="S47" t="str">
            <v>婴幼配饰</v>
          </cell>
        </row>
        <row r="48">
          <cell r="A48" t="str">
            <v>JGG63610</v>
          </cell>
          <cell r="B48">
            <v>46134</v>
          </cell>
          <cell r="C48" t="str">
            <v>已齐</v>
          </cell>
        </row>
        <row r="48">
          <cell r="G48" t="str">
            <v>JLG63604</v>
          </cell>
          <cell r="H48">
            <v>46093</v>
          </cell>
        </row>
        <row r="48">
          <cell r="K48" t="str">
            <v>90-110</v>
          </cell>
          <cell r="L48" t="str">
            <v>小童</v>
          </cell>
          <cell r="M48" t="str">
            <v>婴幼</v>
          </cell>
          <cell r="N48" t="str">
            <v>是</v>
          </cell>
        </row>
        <row r="48">
          <cell r="R48" t="str">
            <v>22儿童袜子婴幼</v>
          </cell>
          <cell r="S48" t="str">
            <v>婴儿袜子</v>
          </cell>
        </row>
        <row r="49">
          <cell r="A49" t="str">
            <v>JQG63611</v>
          </cell>
          <cell r="B49">
            <v>46134</v>
          </cell>
          <cell r="C49" t="str">
            <v>已齐</v>
          </cell>
        </row>
        <row r="49">
          <cell r="G49" t="str">
            <v>JXG63605</v>
          </cell>
          <cell r="H49">
            <v>46091</v>
          </cell>
        </row>
        <row r="49">
          <cell r="K49" t="str">
            <v>90-120</v>
          </cell>
          <cell r="L49" t="str">
            <v>小童</v>
          </cell>
          <cell r="M49" t="str">
            <v>婴幼</v>
          </cell>
          <cell r="N49" t="str">
            <v>是</v>
          </cell>
        </row>
        <row r="49">
          <cell r="R49" t="str">
            <v>17斗篷儿童</v>
          </cell>
          <cell r="S49" t="str">
            <v>儿童披肩/斗篷</v>
          </cell>
        </row>
        <row r="50">
          <cell r="A50" t="str">
            <v>JLG63612</v>
          </cell>
          <cell r="B50">
            <v>46134</v>
          </cell>
          <cell r="C50" t="str">
            <v>已齐</v>
          </cell>
        </row>
        <row r="50">
          <cell r="G50" t="str">
            <v>JGG63606</v>
          </cell>
          <cell r="H50">
            <v>46106</v>
          </cell>
        </row>
        <row r="50">
          <cell r="K50" t="str">
            <v>90-130</v>
          </cell>
          <cell r="L50" t="str">
            <v>中童</v>
          </cell>
          <cell r="M50" t="str">
            <v>婴幼</v>
          </cell>
          <cell r="N50" t="str">
            <v>是</v>
          </cell>
        </row>
        <row r="50">
          <cell r="R50" t="str">
            <v>17斗篷婴幼</v>
          </cell>
          <cell r="S50" t="str">
            <v>婴幼披肩/斗篷</v>
          </cell>
        </row>
        <row r="51">
          <cell r="A51" t="str">
            <v>JKG63506</v>
          </cell>
          <cell r="B51">
            <v>46136</v>
          </cell>
          <cell r="C51" t="str">
            <v>已齐</v>
          </cell>
        </row>
        <row r="51">
          <cell r="G51" t="str">
            <v>JLG63607</v>
          </cell>
          <cell r="H51">
            <v>46091</v>
          </cell>
        </row>
        <row r="51">
          <cell r="K51" t="str">
            <v>90-140</v>
          </cell>
          <cell r="L51" t="str">
            <v>中童</v>
          </cell>
          <cell r="M51" t="str">
            <v>儿童</v>
          </cell>
          <cell r="N51" t="str">
            <v>是</v>
          </cell>
        </row>
        <row r="51">
          <cell r="R51" t="str">
            <v>32亲子装/亲子时装儿童</v>
          </cell>
          <cell r="S51" t="str">
            <v>亲子裙装</v>
          </cell>
        </row>
        <row r="52">
          <cell r="A52" t="str">
            <v>JQG63530</v>
          </cell>
          <cell r="B52">
            <v>46136</v>
          </cell>
          <cell r="C52" t="str">
            <v>已齐</v>
          </cell>
        </row>
        <row r="52">
          <cell r="G52" t="str">
            <v>JMG63608</v>
          </cell>
          <cell r="H52">
            <v>46101</v>
          </cell>
        </row>
        <row r="52">
          <cell r="K52" t="str">
            <v>90-150</v>
          </cell>
          <cell r="L52" t="str">
            <v>大童</v>
          </cell>
          <cell r="M52" t="str">
            <v>儿童</v>
          </cell>
          <cell r="N52" t="str">
            <v>是</v>
          </cell>
        </row>
        <row r="52">
          <cell r="R52" t="str">
            <v>22儿童袜子儿童</v>
          </cell>
          <cell r="S52" t="str">
            <v>儿童袜子</v>
          </cell>
        </row>
        <row r="53">
          <cell r="A53" t="str">
            <v>JHG63528</v>
          </cell>
          <cell r="B53">
            <v>46136</v>
          </cell>
          <cell r="C53" t="str">
            <v>已齐</v>
          </cell>
        </row>
        <row r="53">
          <cell r="G53" t="str">
            <v>JJG63609</v>
          </cell>
          <cell r="H53">
            <v>46093</v>
          </cell>
        </row>
        <row r="53">
          <cell r="K53" t="str">
            <v>90-160</v>
          </cell>
          <cell r="L53" t="str">
            <v>大童</v>
          </cell>
          <cell r="M53" t="str">
            <v>儿童</v>
          </cell>
          <cell r="N53" t="str">
            <v>是</v>
          </cell>
        </row>
        <row r="53">
          <cell r="R53" t="str">
            <v>22儿童袜子婴幼</v>
          </cell>
          <cell r="S53" t="str">
            <v>婴儿袜子</v>
          </cell>
        </row>
        <row r="54">
          <cell r="A54" t="str">
            <v>JTG63532</v>
          </cell>
          <cell r="B54">
            <v>46136</v>
          </cell>
          <cell r="C54" t="str">
            <v>已齐</v>
          </cell>
        </row>
        <row r="54">
          <cell r="G54" t="str">
            <v>JGG63610</v>
          </cell>
          <cell r="H54">
            <v>46106</v>
          </cell>
        </row>
        <row r="54">
          <cell r="K54" t="str">
            <v>90-165</v>
          </cell>
          <cell r="L54" t="str">
            <v>大童</v>
          </cell>
          <cell r="M54" t="str">
            <v>儿童</v>
          </cell>
          <cell r="N54" t="str">
            <v>是</v>
          </cell>
        </row>
        <row r="54">
          <cell r="R54" t="str">
            <v>33唐装婴幼</v>
          </cell>
          <cell r="S54" t="str">
            <v>儿童旗袍/汉服</v>
          </cell>
        </row>
        <row r="55">
          <cell r="A55" t="str">
            <v>JMG63533</v>
          </cell>
          <cell r="B55">
            <v>46136</v>
          </cell>
          <cell r="C55" t="str">
            <v>已齐</v>
          </cell>
          <cell r="D55" t="str">
            <v>无成分唛</v>
          </cell>
        </row>
        <row r="55">
          <cell r="G55" t="str">
            <v>JQG63611</v>
          </cell>
          <cell r="H55">
            <v>46093</v>
          </cell>
        </row>
        <row r="55">
          <cell r="K55" t="str">
            <v>90-170</v>
          </cell>
          <cell r="L55" t="str">
            <v>大童</v>
          </cell>
          <cell r="M55" t="str">
            <v>儿童</v>
          </cell>
          <cell r="N55" t="str">
            <v>是</v>
          </cell>
        </row>
        <row r="56">
          <cell r="A56" t="str">
            <v>JTG63814</v>
          </cell>
          <cell r="B56">
            <v>46136</v>
          </cell>
          <cell r="C56" t="str">
            <v>已齐</v>
          </cell>
        </row>
        <row r="56">
          <cell r="G56" t="str">
            <v>JLG63612</v>
          </cell>
          <cell r="H56">
            <v>46093</v>
          </cell>
        </row>
        <row r="56">
          <cell r="K56" t="str">
            <v>90-185</v>
          </cell>
          <cell r="L56" t="str">
            <v>大童</v>
          </cell>
          <cell r="M56" t="str">
            <v>儿童</v>
          </cell>
          <cell r="N56" t="str">
            <v>是</v>
          </cell>
        </row>
        <row r="57">
          <cell r="A57" t="str">
            <v>JTB63016</v>
          </cell>
          <cell r="B57">
            <v>46136</v>
          </cell>
          <cell r="C57" t="str">
            <v>已齐</v>
          </cell>
        </row>
        <row r="57">
          <cell r="G57" t="str">
            <v>JCG63613</v>
          </cell>
          <cell r="H57">
            <v>46091</v>
          </cell>
        </row>
        <row r="57">
          <cell r="K57" t="str">
            <v>M,L</v>
          </cell>
          <cell r="L57" t="str">
            <v>中童</v>
          </cell>
        </row>
        <row r="57">
          <cell r="N57" t="str">
            <v>否</v>
          </cell>
        </row>
        <row r="58">
          <cell r="A58" t="str">
            <v>JLG63624</v>
          </cell>
          <cell r="B58">
            <v>46136</v>
          </cell>
          <cell r="C58" t="str">
            <v>已齐</v>
          </cell>
        </row>
        <row r="58">
          <cell r="G58" t="str">
            <v>JMG63520</v>
          </cell>
          <cell r="H58">
            <v>46111</v>
          </cell>
        </row>
        <row r="58">
          <cell r="K58" t="str">
            <v>M-L</v>
          </cell>
          <cell r="L58" t="str">
            <v>中童</v>
          </cell>
        </row>
        <row r="58">
          <cell r="N58" t="str">
            <v>否</v>
          </cell>
        </row>
        <row r="59">
          <cell r="A59" t="str">
            <v>JKG63626</v>
          </cell>
          <cell r="B59">
            <v>46136</v>
          </cell>
          <cell r="C59" t="str">
            <v>已齐</v>
          </cell>
        </row>
        <row r="59">
          <cell r="G59" t="str">
            <v>JAN64505</v>
          </cell>
          <cell r="H59">
            <v>46122</v>
          </cell>
        </row>
        <row r="59">
          <cell r="K59" t="str">
            <v>M-XL</v>
          </cell>
          <cell r="L59" t="str">
            <v>中童</v>
          </cell>
        </row>
        <row r="59">
          <cell r="N59" t="str">
            <v>否</v>
          </cell>
        </row>
        <row r="60">
          <cell r="A60" t="str">
            <v>JTG63629</v>
          </cell>
          <cell r="B60">
            <v>46136</v>
          </cell>
          <cell r="C60" t="str">
            <v>已齐</v>
          </cell>
        </row>
        <row r="60">
          <cell r="G60" t="str">
            <v>JAN64506</v>
          </cell>
          <cell r="H60">
            <v>46122</v>
          </cell>
        </row>
        <row r="60">
          <cell r="K60" t="str">
            <v>S,M</v>
          </cell>
          <cell r="L60" t="str">
            <v>中童</v>
          </cell>
        </row>
        <row r="60">
          <cell r="N60" t="str">
            <v>否</v>
          </cell>
        </row>
        <row r="61">
          <cell r="A61" t="str">
            <v>JXG63550</v>
          </cell>
          <cell r="B61">
            <v>46136</v>
          </cell>
          <cell r="C61" t="str">
            <v>已齐</v>
          </cell>
        </row>
        <row r="61">
          <cell r="G61" t="str">
            <v>JKG63521</v>
          </cell>
          <cell r="H61">
            <v>46101</v>
          </cell>
        </row>
        <row r="61">
          <cell r="K61" t="str">
            <v>S-L</v>
          </cell>
          <cell r="L61" t="str">
            <v>中童</v>
          </cell>
        </row>
        <row r="61">
          <cell r="N61" t="str">
            <v>否</v>
          </cell>
        </row>
        <row r="62">
          <cell r="A62" t="str">
            <v>JTG63803</v>
          </cell>
          <cell r="B62">
            <v>46139</v>
          </cell>
          <cell r="C62" t="str">
            <v>已齐</v>
          </cell>
        </row>
        <row r="62">
          <cell r="G62" t="str">
            <v>JKG63614</v>
          </cell>
          <cell r="H62">
            <v>46101</v>
          </cell>
        </row>
        <row r="62">
          <cell r="K62" t="str">
            <v>S-M</v>
          </cell>
          <cell r="L62" t="str">
            <v>中童</v>
          </cell>
        </row>
        <row r="62">
          <cell r="N62" t="str">
            <v>否</v>
          </cell>
        </row>
        <row r="63">
          <cell r="A63" t="str">
            <v>JMB63805</v>
          </cell>
          <cell r="B63">
            <v>46139</v>
          </cell>
          <cell r="C63" t="str">
            <v>已齐</v>
          </cell>
          <cell r="D63" t="str">
            <v>无成分唛</v>
          </cell>
        </row>
        <row r="63">
          <cell r="G63" t="str">
            <v>JJG63615</v>
          </cell>
          <cell r="H63">
            <v>46101</v>
          </cell>
        </row>
        <row r="63">
          <cell r="K63" t="str">
            <v>均码</v>
          </cell>
          <cell r="L63" t="str">
            <v>中童</v>
          </cell>
        </row>
        <row r="63">
          <cell r="N63" t="str">
            <v>否</v>
          </cell>
        </row>
        <row r="64">
          <cell r="A64" t="str">
            <v>JTB63808</v>
          </cell>
          <cell r="B64">
            <v>46139</v>
          </cell>
          <cell r="C64" t="str">
            <v>已齐</v>
          </cell>
          <cell r="D64" t="str">
            <v>无成分唛</v>
          </cell>
        </row>
        <row r="64">
          <cell r="G64" t="str">
            <v>JJG63616</v>
          </cell>
          <cell r="H64">
            <v>46101</v>
          </cell>
        </row>
        <row r="64">
          <cell r="K64" t="str">
            <v>52-66</v>
          </cell>
          <cell r="L64" t="str">
            <v>婴童</v>
          </cell>
          <cell r="M64" t="str">
            <v>婴幼</v>
          </cell>
          <cell r="N64" t="str">
            <v>是</v>
          </cell>
        </row>
        <row r="65">
          <cell r="A65" t="str">
            <v>JTG63513</v>
          </cell>
          <cell r="B65">
            <v>46139</v>
          </cell>
          <cell r="C65" t="str">
            <v>已齐</v>
          </cell>
        </row>
        <row r="65">
          <cell r="G65" t="str">
            <v>JJG63617</v>
          </cell>
          <cell r="H65">
            <v>46101</v>
          </cell>
        </row>
        <row r="65">
          <cell r="K65" t="str">
            <v>66-90</v>
          </cell>
          <cell r="L65" t="str">
            <v>婴童</v>
          </cell>
          <cell r="M65" t="str">
            <v>婴幼</v>
          </cell>
          <cell r="N65" t="str">
            <v>是</v>
          </cell>
        </row>
        <row r="66">
          <cell r="A66" t="str">
            <v>JTG63514</v>
          </cell>
          <cell r="B66">
            <v>46139</v>
          </cell>
          <cell r="C66" t="str">
            <v>已齐</v>
          </cell>
        </row>
        <row r="66">
          <cell r="G66" t="str">
            <v>JJB63618</v>
          </cell>
          <cell r="H66">
            <v>46101</v>
          </cell>
        </row>
        <row r="66">
          <cell r="K66" t="str">
            <v>105-140</v>
          </cell>
          <cell r="L66" t="str">
            <v>中童</v>
          </cell>
          <cell r="M66" t="str">
            <v>儿童</v>
          </cell>
          <cell r="N66" t="str">
            <v>否</v>
          </cell>
        </row>
        <row r="67">
          <cell r="A67" t="str">
            <v>JMG63520</v>
          </cell>
          <cell r="B67">
            <v>46139</v>
          </cell>
          <cell r="C67" t="str">
            <v>已齐</v>
          </cell>
          <cell r="D67" t="str">
            <v>无成分唛</v>
          </cell>
        </row>
        <row r="67">
          <cell r="G67" t="str">
            <v>JGB63619</v>
          </cell>
          <cell r="H67">
            <v>46101</v>
          </cell>
        </row>
        <row r="67">
          <cell r="K67" t="str">
            <v>105-130</v>
          </cell>
          <cell r="L67" t="str">
            <v>中童</v>
          </cell>
          <cell r="M67" t="str">
            <v>婴幼</v>
          </cell>
          <cell r="N67" t="str">
            <v>否</v>
          </cell>
        </row>
        <row r="68">
          <cell r="A68" t="str">
            <v>JJG63616</v>
          </cell>
          <cell r="B68">
            <v>46139</v>
          </cell>
          <cell r="C68" t="str">
            <v>已齐</v>
          </cell>
        </row>
        <row r="68">
          <cell r="G68" t="str">
            <v>JKB63620</v>
          </cell>
          <cell r="H68">
            <v>46101</v>
          </cell>
        </row>
        <row r="68">
          <cell r="K68" t="str">
            <v>105-150</v>
          </cell>
          <cell r="L68" t="str">
            <v>大童</v>
          </cell>
          <cell r="M68" t="str">
            <v>儿童</v>
          </cell>
          <cell r="N68" t="str">
            <v>否</v>
          </cell>
        </row>
        <row r="69">
          <cell r="A69" t="str">
            <v>JHN63535</v>
          </cell>
          <cell r="B69">
            <v>46139</v>
          </cell>
          <cell r="C69" t="str">
            <v>已齐</v>
          </cell>
        </row>
        <row r="69">
          <cell r="G69" t="str">
            <v>JQG63002</v>
          </cell>
          <cell r="H69">
            <v>46101</v>
          </cell>
        </row>
        <row r="69">
          <cell r="K69" t="str">
            <v>59-80</v>
          </cell>
          <cell r="L69" t="str">
            <v>婴童</v>
          </cell>
          <cell r="M69" t="str">
            <v>婴幼</v>
          </cell>
          <cell r="N69" t="str">
            <v>是</v>
          </cell>
        </row>
        <row r="70">
          <cell r="A70" t="str">
            <v>JKG63534</v>
          </cell>
          <cell r="B70">
            <v>46139</v>
          </cell>
          <cell r="C70" t="str">
            <v>已齐</v>
          </cell>
        </row>
        <row r="70">
          <cell r="G70" t="str">
            <v>JJG63003</v>
          </cell>
          <cell r="H70">
            <v>46101</v>
          </cell>
        </row>
        <row r="70">
          <cell r="K70" t="str">
            <v>66/90</v>
          </cell>
          <cell r="L70" t="str">
            <v>婴童</v>
          </cell>
          <cell r="M70" t="str">
            <v>婴幼</v>
          </cell>
          <cell r="N70" t="str">
            <v>是</v>
          </cell>
        </row>
        <row r="71">
          <cell r="A71" t="str">
            <v>JQG63007</v>
          </cell>
          <cell r="B71">
            <v>46139</v>
          </cell>
          <cell r="C71" t="str">
            <v>已齐</v>
          </cell>
        </row>
        <row r="71">
          <cell r="G71" t="str">
            <v>JJG63004</v>
          </cell>
          <cell r="H71">
            <v>46101</v>
          </cell>
        </row>
        <row r="71">
          <cell r="K71" t="str">
            <v>59-66</v>
          </cell>
          <cell r="L71" t="str">
            <v>婴童</v>
          </cell>
          <cell r="M71" t="str">
            <v>婴幼</v>
          </cell>
          <cell r="N71" t="str">
            <v>是</v>
          </cell>
        </row>
        <row r="72">
          <cell r="A72" t="str">
            <v>JKB63018</v>
          </cell>
          <cell r="B72">
            <v>46139</v>
          </cell>
          <cell r="C72" t="str">
            <v>已齐</v>
          </cell>
        </row>
        <row r="72">
          <cell r="G72" t="str">
            <v>JMG65003</v>
          </cell>
          <cell r="H72">
            <v>46111</v>
          </cell>
        </row>
        <row r="72">
          <cell r="K72" t="str">
            <v>150-160</v>
          </cell>
          <cell r="L72" t="str">
            <v>大童</v>
          </cell>
          <cell r="M72" t="str">
            <v>儿童</v>
          </cell>
          <cell r="N72" t="str">
            <v>否</v>
          </cell>
        </row>
        <row r="73">
          <cell r="A73" t="str">
            <v>JJB63019</v>
          </cell>
          <cell r="B73">
            <v>46139</v>
          </cell>
          <cell r="C73" t="str">
            <v>已齐</v>
          </cell>
        </row>
        <row r="73">
          <cell r="G73" t="str">
            <v>JQG65004</v>
          </cell>
          <cell r="H73">
            <v>46111</v>
          </cell>
        </row>
        <row r="73">
          <cell r="K73" t="str">
            <v>150-165</v>
          </cell>
          <cell r="L73" t="str">
            <v>大童</v>
          </cell>
          <cell r="M73" t="str">
            <v>儿童</v>
          </cell>
          <cell r="N73" t="str">
            <v>否</v>
          </cell>
        </row>
        <row r="74">
          <cell r="A74" t="str">
            <v>JJG63631</v>
          </cell>
          <cell r="B74">
            <v>46139</v>
          </cell>
          <cell r="C74" t="str">
            <v>已齐</v>
          </cell>
        </row>
        <row r="74">
          <cell r="G74" t="str">
            <v>JAN64005</v>
          </cell>
          <cell r="H74">
            <v>46111</v>
          </cell>
        </row>
        <row r="74">
          <cell r="K74" t="str">
            <v>150-170</v>
          </cell>
          <cell r="L74" t="str">
            <v>大童</v>
          </cell>
          <cell r="M74" t="str">
            <v>儿童</v>
          </cell>
          <cell r="N74" t="str">
            <v>否</v>
          </cell>
        </row>
        <row r="75">
          <cell r="A75" t="str">
            <v>JXG63634</v>
          </cell>
          <cell r="B75">
            <v>46139</v>
          </cell>
          <cell r="C75" t="str">
            <v>已齐</v>
          </cell>
          <cell r="D75" t="str">
            <v>无成分唛</v>
          </cell>
        </row>
        <row r="75">
          <cell r="G75" t="str">
            <v>JMG65802</v>
          </cell>
          <cell r="H75">
            <v>46111</v>
          </cell>
        </row>
        <row r="76">
          <cell r="A76" t="str">
            <v>JRG63544</v>
          </cell>
          <cell r="B76">
            <v>46139</v>
          </cell>
          <cell r="C76" t="str">
            <v>已齐</v>
          </cell>
        </row>
        <row r="76">
          <cell r="G76" t="str">
            <v>JKG65803</v>
          </cell>
          <cell r="H76">
            <v>46111</v>
          </cell>
        </row>
        <row r="77">
          <cell r="A77" t="str">
            <v>JJG63819</v>
          </cell>
          <cell r="B77">
            <v>46139</v>
          </cell>
          <cell r="C77" t="str">
            <v>已齐</v>
          </cell>
        </row>
        <row r="77">
          <cell r="G77" t="str">
            <v>JQG65804</v>
          </cell>
          <cell r="H77">
            <v>46115</v>
          </cell>
        </row>
        <row r="78">
          <cell r="A78" t="str">
            <v>JLG63820</v>
          </cell>
          <cell r="B78">
            <v>46139</v>
          </cell>
          <cell r="C78" t="str">
            <v>已齐</v>
          </cell>
        </row>
        <row r="78">
          <cell r="G78" t="str">
            <v>JQG65805</v>
          </cell>
          <cell r="H78">
            <v>46157</v>
          </cell>
        </row>
        <row r="79">
          <cell r="A79" t="str">
            <v>JXG63821</v>
          </cell>
          <cell r="B79">
            <v>46139</v>
          </cell>
          <cell r="C79" t="str">
            <v>已齐</v>
          </cell>
        </row>
        <row r="79">
          <cell r="G79" t="str">
            <v>JYN64812</v>
          </cell>
          <cell r="H79">
            <v>46160</v>
          </cell>
        </row>
        <row r="80">
          <cell r="A80" t="str">
            <v>JXG63824</v>
          </cell>
          <cell r="B80">
            <v>46139</v>
          </cell>
          <cell r="C80" t="str">
            <v>已齐</v>
          </cell>
        </row>
        <row r="80">
          <cell r="G80" t="str">
            <v>JAG64817</v>
          </cell>
          <cell r="H80">
            <v>46122</v>
          </cell>
        </row>
        <row r="81">
          <cell r="A81" t="str">
            <v>JRB63554</v>
          </cell>
          <cell r="B81">
            <v>46139</v>
          </cell>
          <cell r="C81" t="str">
            <v>已齐</v>
          </cell>
        </row>
        <row r="81">
          <cell r="G81" t="str">
            <v>JHN63535</v>
          </cell>
          <cell r="H81">
            <v>46110</v>
          </cell>
        </row>
        <row r="82">
          <cell r="A82" t="str">
            <v>JXB63564</v>
          </cell>
          <cell r="B82">
            <v>46139</v>
          </cell>
          <cell r="C82" t="str">
            <v>已齐</v>
          </cell>
        </row>
        <row r="82">
          <cell r="G82" t="str">
            <v>JTG63536</v>
          </cell>
          <cell r="H82">
            <v>46107</v>
          </cell>
        </row>
        <row r="83">
          <cell r="A83" t="str">
            <v>JXB63029</v>
          </cell>
          <cell r="B83">
            <v>46139</v>
          </cell>
          <cell r="C83" t="str">
            <v>已齐</v>
          </cell>
        </row>
        <row r="83">
          <cell r="G83" t="str">
            <v>JKN63537</v>
          </cell>
          <cell r="H83">
            <v>46107</v>
          </cell>
        </row>
        <row r="84">
          <cell r="A84" t="str">
            <v>JTG63514</v>
          </cell>
          <cell r="B84">
            <v>46141</v>
          </cell>
          <cell r="C84" t="str">
            <v>已齐</v>
          </cell>
        </row>
        <row r="84">
          <cell r="G84" t="str">
            <v>JXG63526</v>
          </cell>
          <cell r="H84">
            <v>46107</v>
          </cell>
        </row>
        <row r="85">
          <cell r="A85" t="str">
            <v>JJG63609</v>
          </cell>
          <cell r="B85">
            <v>46141</v>
          </cell>
          <cell r="C85" t="str">
            <v>已齐</v>
          </cell>
        </row>
        <row r="85">
          <cell r="G85" t="str">
            <v>JQG63527</v>
          </cell>
          <cell r="H85">
            <v>46107</v>
          </cell>
        </row>
        <row r="86">
          <cell r="A86" t="str">
            <v>JHG63529</v>
          </cell>
          <cell r="B86">
            <v>46141</v>
          </cell>
          <cell r="C86" t="str">
            <v>已齐</v>
          </cell>
        </row>
        <row r="86">
          <cell r="G86" t="str">
            <v>JQG63530</v>
          </cell>
          <cell r="H86">
            <v>46107</v>
          </cell>
        </row>
        <row r="87">
          <cell r="A87" t="str">
            <v>JKG63813</v>
          </cell>
          <cell r="B87">
            <v>46141</v>
          </cell>
          <cell r="C87" t="str">
            <v>已齐</v>
          </cell>
        </row>
        <row r="87">
          <cell r="G87" t="str">
            <v>JHG63528</v>
          </cell>
          <cell r="H87">
            <v>46110</v>
          </cell>
        </row>
        <row r="88">
          <cell r="A88" t="str">
            <v>JJG63006</v>
          </cell>
          <cell r="B88">
            <v>46141</v>
          </cell>
          <cell r="C88" t="str">
            <v>已齐</v>
          </cell>
        </row>
        <row r="88">
          <cell r="G88" t="str">
            <v>JHG63529</v>
          </cell>
          <cell r="H88">
            <v>46110</v>
          </cell>
        </row>
        <row r="89">
          <cell r="A89" t="str">
            <v>JQG63012</v>
          </cell>
          <cell r="B89">
            <v>46141</v>
          </cell>
          <cell r="C89" t="str">
            <v>已齐</v>
          </cell>
        </row>
        <row r="89">
          <cell r="G89" t="str">
            <v>JCG63531</v>
          </cell>
          <cell r="H89">
            <v>46107</v>
          </cell>
        </row>
        <row r="90">
          <cell r="A90" t="str">
            <v>JLG63625</v>
          </cell>
          <cell r="B90">
            <v>46141</v>
          </cell>
          <cell r="C90" t="str">
            <v>已齐</v>
          </cell>
        </row>
        <row r="90">
          <cell r="G90" t="str">
            <v>JTG63532</v>
          </cell>
          <cell r="H90">
            <v>46107</v>
          </cell>
        </row>
        <row r="91">
          <cell r="A91" t="str">
            <v>JHG63542</v>
          </cell>
          <cell r="B91">
            <v>46141</v>
          </cell>
          <cell r="C91" t="str">
            <v>已齐</v>
          </cell>
        </row>
        <row r="91">
          <cell r="G91" t="str">
            <v>JMG63533</v>
          </cell>
          <cell r="H91">
            <v>46111</v>
          </cell>
        </row>
        <row r="92">
          <cell r="A92" t="str">
            <v>JXG63815</v>
          </cell>
          <cell r="B92">
            <v>46141</v>
          </cell>
          <cell r="C92" t="str">
            <v>已齐</v>
          </cell>
        </row>
        <row r="92">
          <cell r="G92" t="str">
            <v>JKG63534</v>
          </cell>
          <cell r="H92">
            <v>46110</v>
          </cell>
        </row>
        <row r="93">
          <cell r="A93" t="str">
            <v>JJN63818</v>
          </cell>
          <cell r="B93">
            <v>46141</v>
          </cell>
          <cell r="C93" t="str">
            <v>已齐</v>
          </cell>
        </row>
        <row r="93">
          <cell r="G93" t="str">
            <v>JKG63812</v>
          </cell>
          <cell r="H93">
            <v>46110</v>
          </cell>
        </row>
        <row r="94">
          <cell r="A94" t="str">
            <v>JXB63553</v>
          </cell>
          <cell r="B94">
            <v>46141</v>
          </cell>
          <cell r="C94" t="str">
            <v>已齐</v>
          </cell>
        </row>
        <row r="94">
          <cell r="G94" t="str">
            <v>JKG63813</v>
          </cell>
          <cell r="H94">
            <v>46110</v>
          </cell>
        </row>
        <row r="95">
          <cell r="A95" t="str">
            <v>JXB63643</v>
          </cell>
          <cell r="B95">
            <v>46141</v>
          </cell>
          <cell r="C95" t="str">
            <v>已齐</v>
          </cell>
        </row>
        <row r="95">
          <cell r="G95" t="str">
            <v>JTG63814</v>
          </cell>
          <cell r="H95">
            <v>46108</v>
          </cell>
        </row>
        <row r="96">
          <cell r="A96" t="str">
            <v>JHG63555</v>
          </cell>
          <cell r="B96">
            <v>46141</v>
          </cell>
          <cell r="C96" t="str">
            <v>已齐</v>
          </cell>
        </row>
        <row r="96">
          <cell r="G96" t="str">
            <v>JJB65808</v>
          </cell>
          <cell r="H96">
            <v>46127</v>
          </cell>
        </row>
        <row r="97">
          <cell r="A97" t="str">
            <v>JXB63562</v>
          </cell>
          <cell r="B97">
            <v>46141</v>
          </cell>
          <cell r="C97" t="str">
            <v>已齐</v>
          </cell>
        </row>
        <row r="97">
          <cell r="G97" t="str">
            <v>JAN64819</v>
          </cell>
          <cell r="H97">
            <v>46162</v>
          </cell>
        </row>
        <row r="98">
          <cell r="A98" t="str">
            <v>JXB63563</v>
          </cell>
          <cell r="B98">
            <v>46141</v>
          </cell>
          <cell r="C98" t="str">
            <v>已齐</v>
          </cell>
          <cell r="D98" t="str">
            <v>宝蓝无成分唛</v>
          </cell>
        </row>
        <row r="98">
          <cell r="G98" t="str">
            <v>JJB63538</v>
          </cell>
          <cell r="H98">
            <v>46110</v>
          </cell>
        </row>
        <row r="99">
          <cell r="A99" t="str">
            <v>JXB63030</v>
          </cell>
          <cell r="B99">
            <v>46141</v>
          </cell>
          <cell r="C99" t="str">
            <v>已齐</v>
          </cell>
        </row>
        <row r="99">
          <cell r="G99" t="str">
            <v>JTN63539</v>
          </cell>
          <cell r="H99">
            <v>46108</v>
          </cell>
        </row>
        <row r="100">
          <cell r="A100" t="str">
            <v>JRB63031</v>
          </cell>
          <cell r="B100">
            <v>46141</v>
          </cell>
          <cell r="C100" t="str">
            <v>已齐</v>
          </cell>
        </row>
        <row r="100">
          <cell r="G100" t="str">
            <v>JXB63540</v>
          </cell>
          <cell r="H100">
            <v>46108</v>
          </cell>
        </row>
        <row r="101">
          <cell r="A101" t="str">
            <v>JXG63569</v>
          </cell>
          <cell r="B101">
            <v>46141</v>
          </cell>
          <cell r="C101" t="str">
            <v>已齐</v>
          </cell>
        </row>
        <row r="101">
          <cell r="G101" t="str">
            <v>JJG63006</v>
          </cell>
          <cell r="H101">
            <v>46108</v>
          </cell>
        </row>
        <row r="102">
          <cell r="A102" t="str">
            <v>JJB63572</v>
          </cell>
          <cell r="B102">
            <v>46141</v>
          </cell>
          <cell r="C102" t="str">
            <v>已齐</v>
          </cell>
        </row>
        <row r="102">
          <cell r="G102" t="str">
            <v>JQG63007</v>
          </cell>
          <cell r="H102">
            <v>46110</v>
          </cell>
        </row>
        <row r="103">
          <cell r="A103" t="str">
            <v>JJG63571</v>
          </cell>
          <cell r="B103">
            <v>46141</v>
          </cell>
          <cell r="C103" t="str">
            <v>已齐</v>
          </cell>
        </row>
        <row r="103">
          <cell r="G103" t="str">
            <v>JXB63008</v>
          </cell>
          <cell r="H103">
            <v>46108</v>
          </cell>
        </row>
        <row r="104">
          <cell r="A104" t="str">
            <v>JTG63810</v>
          </cell>
          <cell r="B104">
            <v>46142</v>
          </cell>
          <cell r="C104" t="str">
            <v>已齐</v>
          </cell>
        </row>
        <row r="104">
          <cell r="G104" t="str">
            <v>JLB63009</v>
          </cell>
          <cell r="H104">
            <v>46108</v>
          </cell>
        </row>
        <row r="105">
          <cell r="A105" t="str">
            <v>JJG63004</v>
          </cell>
          <cell r="B105">
            <v>46142</v>
          </cell>
          <cell r="C105" t="str">
            <v>已齐</v>
          </cell>
        </row>
        <row r="105">
          <cell r="G105" t="str">
            <v>JXG63010</v>
          </cell>
          <cell r="H105">
            <v>46108</v>
          </cell>
        </row>
        <row r="106">
          <cell r="A106" t="str">
            <v>JGB63635</v>
          </cell>
          <cell r="B106">
            <v>46142</v>
          </cell>
          <cell r="C106" t="str">
            <v>已齐</v>
          </cell>
        </row>
        <row r="106">
          <cell r="G106" t="str">
            <v>JDG63011</v>
          </cell>
          <cell r="H106">
            <v>46108</v>
          </cell>
        </row>
        <row r="107">
          <cell r="A107" t="str">
            <v>JCG63545</v>
          </cell>
          <cell r="B107">
            <v>46142</v>
          </cell>
          <cell r="C107" t="str">
            <v>已齐</v>
          </cell>
        </row>
        <row r="107">
          <cell r="G107" t="str">
            <v>JQG63012</v>
          </cell>
          <cell r="H107">
            <v>46108</v>
          </cell>
        </row>
        <row r="108">
          <cell r="A108" t="str">
            <v>JXG63548</v>
          </cell>
          <cell r="B108">
            <v>46142</v>
          </cell>
          <cell r="C108" t="str">
            <v>已齐</v>
          </cell>
        </row>
        <row r="108">
          <cell r="G108" t="str">
            <v>JDG65007</v>
          </cell>
          <cell r="H108">
            <v>46157</v>
          </cell>
        </row>
        <row r="109">
          <cell r="A109" t="str">
            <v>JXG63552</v>
          </cell>
          <cell r="B109">
            <v>46142</v>
          </cell>
          <cell r="C109" t="str">
            <v>已齐</v>
          </cell>
        </row>
        <row r="109">
          <cell r="G109" t="str">
            <v>JXG63013</v>
          </cell>
          <cell r="H109">
            <v>46108</v>
          </cell>
        </row>
        <row r="110">
          <cell r="A110" t="str">
            <v>JJG63817</v>
          </cell>
          <cell r="B110">
            <v>46142</v>
          </cell>
          <cell r="C110" t="str">
            <v>已齐</v>
          </cell>
        </row>
        <row r="110">
          <cell r="G110" t="str">
            <v>JCG63015</v>
          </cell>
          <cell r="H110">
            <v>46108</v>
          </cell>
        </row>
        <row r="111">
          <cell r="A111" t="str">
            <v>JRB63573</v>
          </cell>
          <cell r="B111">
            <v>46142</v>
          </cell>
          <cell r="C111" t="str">
            <v>已齐</v>
          </cell>
        </row>
        <row r="111">
          <cell r="G111" t="str">
            <v>JTB63016</v>
          </cell>
          <cell r="H111">
            <v>46108</v>
          </cell>
        </row>
        <row r="112">
          <cell r="A112" t="str">
            <v>JCG63531</v>
          </cell>
          <cell r="B112">
            <v>46146</v>
          </cell>
          <cell r="C112" t="str">
            <v>已齐</v>
          </cell>
        </row>
        <row r="112">
          <cell r="G112" t="str">
            <v>JXB63017</v>
          </cell>
          <cell r="H112">
            <v>46108</v>
          </cell>
        </row>
        <row r="113">
          <cell r="A113" t="str">
            <v>JJB63538</v>
          </cell>
          <cell r="B113">
            <v>46146</v>
          </cell>
          <cell r="C113" t="str">
            <v>已齐</v>
          </cell>
        </row>
        <row r="113">
          <cell r="G113" t="str">
            <v>JKB63018</v>
          </cell>
          <cell r="H113">
            <v>46108</v>
          </cell>
        </row>
        <row r="114">
          <cell r="A114" t="str">
            <v>JLB63009</v>
          </cell>
          <cell r="B114">
            <v>46146</v>
          </cell>
          <cell r="C114" t="str">
            <v>已齐</v>
          </cell>
        </row>
        <row r="114">
          <cell r="G114" t="str">
            <v>JJB63019</v>
          </cell>
          <cell r="H114">
            <v>46108</v>
          </cell>
        </row>
        <row r="115">
          <cell r="A115" t="str">
            <v>JXG63010</v>
          </cell>
          <cell r="B115">
            <v>46146</v>
          </cell>
          <cell r="C115" t="str">
            <v>已齐</v>
          </cell>
        </row>
        <row r="115">
          <cell r="G115" t="str">
            <v>JXG63020</v>
          </cell>
          <cell r="H115">
            <v>46108</v>
          </cell>
        </row>
        <row r="116">
          <cell r="A116" t="str">
            <v>JDG63011</v>
          </cell>
          <cell r="B116">
            <v>46146</v>
          </cell>
          <cell r="C116" t="str">
            <v>已齐</v>
          </cell>
        </row>
        <row r="116">
          <cell r="G116" t="str">
            <v>JTG63621</v>
          </cell>
          <cell r="H116">
            <v>46108</v>
          </cell>
        </row>
        <row r="117">
          <cell r="A117" t="str">
            <v>JKG63627</v>
          </cell>
          <cell r="B117">
            <v>46146</v>
          </cell>
          <cell r="C117" t="str">
            <v>已齐</v>
          </cell>
        </row>
        <row r="117">
          <cell r="G117" t="str">
            <v>JQG63622</v>
          </cell>
          <cell r="H117">
            <v>46108</v>
          </cell>
        </row>
        <row r="118">
          <cell r="A118" t="str">
            <v>JTG63628</v>
          </cell>
          <cell r="B118">
            <v>46146</v>
          </cell>
          <cell r="C118" t="str">
            <v>已齐</v>
          </cell>
        </row>
        <row r="118">
          <cell r="G118" t="str">
            <v>JQG63623</v>
          </cell>
          <cell r="H118">
            <v>46108</v>
          </cell>
        </row>
        <row r="119">
          <cell r="A119" t="str">
            <v>JCG63633</v>
          </cell>
          <cell r="B119">
            <v>46146</v>
          </cell>
          <cell r="C119" t="str">
            <v>已齐</v>
          </cell>
        </row>
        <row r="119">
          <cell r="G119" t="str">
            <v>JLG63624</v>
          </cell>
          <cell r="H119">
            <v>46108</v>
          </cell>
        </row>
        <row r="120">
          <cell r="A120" t="str">
            <v>JXG63552</v>
          </cell>
          <cell r="B120">
            <v>46146</v>
          </cell>
          <cell r="C120" t="str">
            <v>已齐</v>
          </cell>
        </row>
        <row r="120">
          <cell r="G120" t="str">
            <v>JLG63625</v>
          </cell>
          <cell r="H120">
            <v>46108</v>
          </cell>
        </row>
        <row r="121">
          <cell r="A121" t="str">
            <v>JTB63560</v>
          </cell>
          <cell r="B121">
            <v>46146</v>
          </cell>
          <cell r="C121" t="str">
            <v>已齐</v>
          </cell>
        </row>
        <row r="121">
          <cell r="G121" t="str">
            <v>JKG63626</v>
          </cell>
          <cell r="H121">
            <v>46108</v>
          </cell>
        </row>
        <row r="122">
          <cell r="A122" t="str">
            <v>JXG63561</v>
          </cell>
          <cell r="B122">
            <v>46146</v>
          </cell>
          <cell r="C122" t="str">
            <v>已齐</v>
          </cell>
        </row>
        <row r="122">
          <cell r="G122" t="str">
            <v>JKG63627</v>
          </cell>
          <cell r="H122">
            <v>46108</v>
          </cell>
        </row>
        <row r="123">
          <cell r="A123" t="str">
            <v>JKB63566</v>
          </cell>
          <cell r="B123">
            <v>46146</v>
          </cell>
          <cell r="C123" t="str">
            <v>已齐</v>
          </cell>
          <cell r="D123" t="str">
            <v>无成分唛</v>
          </cell>
        </row>
        <row r="123">
          <cell r="G123" t="str">
            <v>JTG63628</v>
          </cell>
          <cell r="H123">
            <v>46108</v>
          </cell>
        </row>
        <row r="124">
          <cell r="A124" t="str">
            <v>JCG63025</v>
          </cell>
          <cell r="B124">
            <v>46146</v>
          </cell>
          <cell r="C124" t="str">
            <v>已齐</v>
          </cell>
        </row>
        <row r="124">
          <cell r="G124" t="str">
            <v>JTG63629</v>
          </cell>
          <cell r="H124">
            <v>46108</v>
          </cell>
        </row>
        <row r="125">
          <cell r="A125" t="str">
            <v>JXG63568</v>
          </cell>
          <cell r="B125">
            <v>46146</v>
          </cell>
          <cell r="C125" t="str">
            <v>已齐</v>
          </cell>
        </row>
        <row r="125">
          <cell r="G125" t="str">
            <v>JTG63630</v>
          </cell>
          <cell r="H125">
            <v>46108</v>
          </cell>
        </row>
        <row r="126">
          <cell r="A126" t="str">
            <v>JXG63828</v>
          </cell>
          <cell r="B126">
            <v>46146</v>
          </cell>
          <cell r="C126" t="str">
            <v>已齐</v>
          </cell>
        </row>
        <row r="126">
          <cell r="G126" t="str">
            <v>JJG63631</v>
          </cell>
          <cell r="H126">
            <v>46112</v>
          </cell>
        </row>
        <row r="127">
          <cell r="A127" t="str">
            <v>JMG63608</v>
          </cell>
          <cell r="B127">
            <v>46148</v>
          </cell>
          <cell r="C127" t="str">
            <v>已齐</v>
          </cell>
          <cell r="D127" t="str">
            <v>无成分唛</v>
          </cell>
        </row>
        <row r="127">
          <cell r="G127" t="str">
            <v>JJG63632</v>
          </cell>
          <cell r="H127">
            <v>46112</v>
          </cell>
        </row>
        <row r="128">
          <cell r="A128" t="str">
            <v>JKG63812</v>
          </cell>
          <cell r="B128">
            <v>46148</v>
          </cell>
          <cell r="C128" t="str">
            <v>已齐</v>
          </cell>
        </row>
        <row r="128">
          <cell r="G128" t="str">
            <v>JCG63633</v>
          </cell>
          <cell r="H128">
            <v>46112</v>
          </cell>
        </row>
        <row r="129">
          <cell r="A129" t="str">
            <v>JQG63622</v>
          </cell>
          <cell r="B129">
            <v>46148</v>
          </cell>
          <cell r="C129" t="str">
            <v>已齐</v>
          </cell>
        </row>
        <row r="129">
          <cell r="G129" t="str">
            <v>JXG63634</v>
          </cell>
          <cell r="H129">
            <v>46112</v>
          </cell>
        </row>
        <row r="130">
          <cell r="A130" t="str">
            <v>JXB63642</v>
          </cell>
          <cell r="B130">
            <v>46148</v>
          </cell>
          <cell r="C130" t="str">
            <v>已齐</v>
          </cell>
        </row>
        <row r="130">
          <cell r="G130" t="str">
            <v>JGB63635</v>
          </cell>
          <cell r="H130">
            <v>46112</v>
          </cell>
        </row>
        <row r="131">
          <cell r="A131" t="str">
            <v>JKG63647</v>
          </cell>
          <cell r="B131">
            <v>46148</v>
          </cell>
          <cell r="C131" t="str">
            <v>已齐</v>
          </cell>
        </row>
        <row r="131">
          <cell r="G131" t="str">
            <v>JHG63542</v>
          </cell>
          <cell r="H131">
            <v>46110</v>
          </cell>
        </row>
        <row r="132">
          <cell r="A132" t="str">
            <v>JJN63559</v>
          </cell>
          <cell r="B132">
            <v>46148</v>
          </cell>
          <cell r="C132" t="str">
            <v>已齐</v>
          </cell>
        </row>
        <row r="132">
          <cell r="G132" t="str">
            <v>JRG63543</v>
          </cell>
          <cell r="H132">
            <v>46112</v>
          </cell>
        </row>
        <row r="133">
          <cell r="A133" t="str">
            <v>JKG63026</v>
          </cell>
          <cell r="B133">
            <v>46148</v>
          </cell>
          <cell r="C133" t="str">
            <v>已齐</v>
          </cell>
        </row>
        <row r="133">
          <cell r="G133" t="str">
            <v>JRG63544</v>
          </cell>
          <cell r="H133">
            <v>46112</v>
          </cell>
        </row>
        <row r="134">
          <cell r="A134" t="str">
            <v>JGG63027</v>
          </cell>
          <cell r="B134">
            <v>46148</v>
          </cell>
          <cell r="C134" t="str">
            <v>已齐</v>
          </cell>
        </row>
        <row r="134">
          <cell r="G134" t="str">
            <v>JCG63545</v>
          </cell>
          <cell r="H134">
            <v>46112</v>
          </cell>
        </row>
        <row r="135">
          <cell r="A135" t="str">
            <v>JJG63028</v>
          </cell>
          <cell r="B135">
            <v>46148</v>
          </cell>
          <cell r="C135" t="str">
            <v>已齐</v>
          </cell>
        </row>
        <row r="135">
          <cell r="G135" t="str">
            <v>JKN63546</v>
          </cell>
          <cell r="H135">
            <v>46112</v>
          </cell>
        </row>
        <row r="136">
          <cell r="A136" t="str">
            <v>JXG63567</v>
          </cell>
          <cell r="B136">
            <v>46148</v>
          </cell>
          <cell r="C136" t="str">
            <v>已齐</v>
          </cell>
        </row>
        <row r="136">
          <cell r="G136" t="str">
            <v>JKG63547</v>
          </cell>
          <cell r="H136">
            <v>46112</v>
          </cell>
        </row>
        <row r="137">
          <cell r="A137" t="str">
            <v>JTG63570</v>
          </cell>
          <cell r="B137">
            <v>46148</v>
          </cell>
          <cell r="C137" t="str">
            <v>已齐</v>
          </cell>
        </row>
        <row r="137">
          <cell r="G137" t="str">
            <v>JXG63548</v>
          </cell>
          <cell r="H137">
            <v>46112</v>
          </cell>
        </row>
        <row r="138">
          <cell r="A138" t="str">
            <v>JTG63621</v>
          </cell>
          <cell r="B138">
            <v>46148</v>
          </cell>
          <cell r="C138" t="str">
            <v>已齐</v>
          </cell>
        </row>
        <row r="138">
          <cell r="G138" t="str">
            <v>JXG63549</v>
          </cell>
          <cell r="H138">
            <v>46112</v>
          </cell>
        </row>
        <row r="139">
          <cell r="A139" t="str">
            <v>JTG63630</v>
          </cell>
          <cell r="B139">
            <v>46150</v>
          </cell>
          <cell r="C139" t="str">
            <v>已齐</v>
          </cell>
        </row>
        <row r="139">
          <cell r="G139" t="str">
            <v>JXG63550</v>
          </cell>
          <cell r="H139">
            <v>46112</v>
          </cell>
        </row>
        <row r="140">
          <cell r="A140" t="str">
            <v>JJG63632</v>
          </cell>
          <cell r="B140">
            <v>46150</v>
          </cell>
          <cell r="C140" t="str">
            <v>已齐</v>
          </cell>
        </row>
        <row r="140">
          <cell r="G140" t="str">
            <v>JXG63551</v>
          </cell>
          <cell r="H140">
            <v>46112</v>
          </cell>
        </row>
        <row r="141">
          <cell r="A141" t="str">
            <v>JJB63640</v>
          </cell>
          <cell r="B141">
            <v>46150</v>
          </cell>
          <cell r="C141" t="str">
            <v>已齐</v>
          </cell>
        </row>
        <row r="141">
          <cell r="G141" t="str">
            <v>JXG63552</v>
          </cell>
          <cell r="H141">
            <v>46112</v>
          </cell>
        </row>
        <row r="142">
          <cell r="A142" t="str">
            <v>JJG63641</v>
          </cell>
          <cell r="B142">
            <v>46150</v>
          </cell>
          <cell r="C142" t="str">
            <v>已齐</v>
          </cell>
        </row>
        <row r="142">
          <cell r="G142" t="str">
            <v>JXG63815</v>
          </cell>
          <cell r="H142">
            <v>46112</v>
          </cell>
        </row>
        <row r="143">
          <cell r="A143" t="str">
            <v>JLB63645</v>
          </cell>
          <cell r="B143">
            <v>46150</v>
          </cell>
          <cell r="C143" t="str">
            <v>已齐</v>
          </cell>
        </row>
        <row r="143">
          <cell r="G143" t="str">
            <v>JMG63816</v>
          </cell>
          <cell r="H143">
            <v>46111</v>
          </cell>
        </row>
        <row r="144">
          <cell r="A144" t="str">
            <v>JTG63648</v>
          </cell>
          <cell r="B144">
            <v>46150</v>
          </cell>
          <cell r="C144" t="str">
            <v>已齐</v>
          </cell>
        </row>
        <row r="144">
          <cell r="G144" t="str">
            <v>JJG63817</v>
          </cell>
          <cell r="H144">
            <v>46112</v>
          </cell>
        </row>
        <row r="145">
          <cell r="A145" t="str">
            <v>JKB63651</v>
          </cell>
          <cell r="B145">
            <v>46150</v>
          </cell>
          <cell r="C145" t="str">
            <v>已齐</v>
          </cell>
        </row>
        <row r="145">
          <cell r="G145" t="str">
            <v>JJN63818</v>
          </cell>
          <cell r="H145">
            <v>46112</v>
          </cell>
        </row>
        <row r="146">
          <cell r="A146" t="str">
            <v>JTB63652</v>
          </cell>
          <cell r="B146">
            <v>46150</v>
          </cell>
          <cell r="C146" t="str">
            <v>已齐</v>
          </cell>
        </row>
        <row r="146">
          <cell r="G146" t="str">
            <v>JJG63819</v>
          </cell>
          <cell r="H146">
            <v>46112</v>
          </cell>
        </row>
        <row r="147">
          <cell r="A147" t="str">
            <v>JGG63606</v>
          </cell>
          <cell r="B147">
            <v>46153</v>
          </cell>
          <cell r="C147" t="str">
            <v>已齐</v>
          </cell>
          <cell r="D147" t="str">
            <v>无成分唛</v>
          </cell>
        </row>
        <row r="147">
          <cell r="G147" t="str">
            <v>JLG63820</v>
          </cell>
          <cell r="H147">
            <v>46112</v>
          </cell>
        </row>
        <row r="148">
          <cell r="A148" t="str">
            <v>JCG63015</v>
          </cell>
          <cell r="B148">
            <v>46153</v>
          </cell>
          <cell r="C148" t="str">
            <v>已齐</v>
          </cell>
        </row>
        <row r="148">
          <cell r="G148" t="str">
            <v>JXG63821</v>
          </cell>
          <cell r="H148">
            <v>46112</v>
          </cell>
        </row>
        <row r="149">
          <cell r="A149" t="str">
            <v>JQG63623</v>
          </cell>
          <cell r="B149">
            <v>46153</v>
          </cell>
          <cell r="C149" t="str">
            <v>已齐</v>
          </cell>
        </row>
        <row r="149">
          <cell r="G149" t="str">
            <v>JTG63822</v>
          </cell>
          <cell r="H149">
            <v>46112</v>
          </cell>
        </row>
        <row r="150">
          <cell r="A150" t="str">
            <v>JJG63806</v>
          </cell>
          <cell r="B150">
            <v>46153</v>
          </cell>
          <cell r="C150" t="str">
            <v>已齐</v>
          </cell>
        </row>
        <row r="150">
          <cell r="G150" t="str">
            <v>JQG63823</v>
          </cell>
          <cell r="H150">
            <v>46112</v>
          </cell>
        </row>
        <row r="151">
          <cell r="A151" t="str">
            <v>JTG63825</v>
          </cell>
          <cell r="B151">
            <v>46153</v>
          </cell>
          <cell r="C151" t="str">
            <v>已齐</v>
          </cell>
          <cell r="D151" t="str">
            <v>上衣无成分唛</v>
          </cell>
        </row>
        <row r="151">
          <cell r="G151" t="str">
            <v>JXG63824</v>
          </cell>
          <cell r="H151">
            <v>46112</v>
          </cell>
        </row>
        <row r="152">
          <cell r="A152" t="str">
            <v>JTB63021</v>
          </cell>
          <cell r="B152">
            <v>46153</v>
          </cell>
          <cell r="C152" t="str">
            <v>已齐</v>
          </cell>
          <cell r="D152" t="str">
            <v>无成分唛</v>
          </cell>
        </row>
        <row r="152">
          <cell r="G152" t="str">
            <v>JJG63806</v>
          </cell>
          <cell r="H152">
            <v>46114</v>
          </cell>
        </row>
        <row r="153">
          <cell r="A153" t="str">
            <v>JTG63826</v>
          </cell>
          <cell r="B153">
            <v>46153</v>
          </cell>
          <cell r="C153" t="str">
            <v>已齐</v>
          </cell>
        </row>
        <row r="153">
          <cell r="G153" t="str">
            <v>JTG63825</v>
          </cell>
          <cell r="H153">
            <v>46120</v>
          </cell>
        </row>
        <row r="154">
          <cell r="A154" t="str">
            <v>JRB63636</v>
          </cell>
          <cell r="B154">
            <v>46153</v>
          </cell>
          <cell r="C154" t="str">
            <v>已齐</v>
          </cell>
          <cell r="D154" t="str">
            <v>无成分唛</v>
          </cell>
        </row>
        <row r="154">
          <cell r="G154" t="str">
            <v>JAG64820</v>
          </cell>
          <cell r="H154">
            <v>46147</v>
          </cell>
        </row>
        <row r="155">
          <cell r="A155" t="str">
            <v>JJB63638</v>
          </cell>
          <cell r="B155">
            <v>46153</v>
          </cell>
          <cell r="C155" t="str">
            <v>已齐</v>
          </cell>
        </row>
        <row r="155">
          <cell r="G155" t="str">
            <v>JYB64821</v>
          </cell>
          <cell r="H155">
            <v>46157</v>
          </cell>
        </row>
        <row r="156">
          <cell r="A156" t="str">
            <v>JJB63639</v>
          </cell>
          <cell r="B156">
            <v>46153</v>
          </cell>
          <cell r="C156" t="str">
            <v>已齐</v>
          </cell>
        </row>
        <row r="156">
          <cell r="G156" t="str">
            <v>JYB64822</v>
          </cell>
          <cell r="H156">
            <v>46157</v>
          </cell>
        </row>
        <row r="157">
          <cell r="A157" t="str">
            <v>JQG63024</v>
          </cell>
          <cell r="B157">
            <v>46153</v>
          </cell>
          <cell r="C157" t="str">
            <v>已齐</v>
          </cell>
        </row>
        <row r="157">
          <cell r="G157" t="str">
            <v>JYG64823</v>
          </cell>
          <cell r="H157">
            <v>46178</v>
          </cell>
        </row>
        <row r="158">
          <cell r="A158" t="str">
            <v>JRG63829</v>
          </cell>
          <cell r="B158">
            <v>46153</v>
          </cell>
          <cell r="C158" t="str">
            <v>已齐</v>
          </cell>
        </row>
        <row r="158">
          <cell r="G158" t="str">
            <v>JYN64824</v>
          </cell>
          <cell r="H158">
            <v>46157</v>
          </cell>
        </row>
        <row r="159">
          <cell r="A159" t="str">
            <v>JRG63830</v>
          </cell>
          <cell r="B159">
            <v>46153</v>
          </cell>
          <cell r="C159" t="str">
            <v>已齐</v>
          </cell>
          <cell r="D159" t="str">
            <v>无成分唛</v>
          </cell>
        </row>
        <row r="159">
          <cell r="G159" t="str">
            <v>JYG64825</v>
          </cell>
          <cell r="H159">
            <v>46178</v>
          </cell>
        </row>
        <row r="160">
          <cell r="A160" t="str">
            <v>JTG63831</v>
          </cell>
          <cell r="B160">
            <v>46153</v>
          </cell>
          <cell r="C160" t="str">
            <v>已齐</v>
          </cell>
        </row>
        <row r="160">
          <cell r="G160" t="str">
            <v>JYN64826</v>
          </cell>
          <cell r="H160">
            <v>46162</v>
          </cell>
        </row>
        <row r="161">
          <cell r="A161" t="str">
            <v>JTB63033</v>
          </cell>
          <cell r="B161">
            <v>46153</v>
          </cell>
          <cell r="C161" t="str">
            <v>已齐</v>
          </cell>
        </row>
        <row r="161">
          <cell r="G161" t="str">
            <v>JYG64827</v>
          </cell>
          <cell r="H161">
            <v>46164</v>
          </cell>
        </row>
        <row r="162">
          <cell r="A162" t="str">
            <v>JXG63040</v>
          </cell>
          <cell r="B162">
            <v>46153</v>
          </cell>
          <cell r="C162" t="str">
            <v>已齐</v>
          </cell>
        </row>
        <row r="162">
          <cell r="G162" t="str">
            <v>JXB63553</v>
          </cell>
          <cell r="H162">
            <v>46112</v>
          </cell>
        </row>
        <row r="163">
          <cell r="A163" t="str">
            <v>JJG63846</v>
          </cell>
          <cell r="B163">
            <v>46153</v>
          </cell>
          <cell r="C163" t="str">
            <v>已齐</v>
          </cell>
        </row>
        <row r="163">
          <cell r="G163" t="str">
            <v>JRB63554</v>
          </cell>
          <cell r="H163">
            <v>46120</v>
          </cell>
        </row>
        <row r="164">
          <cell r="A164" t="str">
            <v>JJG63847</v>
          </cell>
          <cell r="B164">
            <v>46153</v>
          </cell>
          <cell r="C164" t="str">
            <v>已齐</v>
          </cell>
        </row>
        <row r="164">
          <cell r="G164" t="str">
            <v>JTB63021</v>
          </cell>
          <cell r="H164">
            <v>46120</v>
          </cell>
        </row>
        <row r="165">
          <cell r="A165" t="str">
            <v>JXG63581</v>
          </cell>
          <cell r="B165">
            <v>46153</v>
          </cell>
          <cell r="C165" t="str">
            <v>已齐</v>
          </cell>
        </row>
        <row r="165">
          <cell r="G165" t="str">
            <v>JMG63022</v>
          </cell>
          <cell r="H165">
            <v>46142</v>
          </cell>
        </row>
        <row r="166">
          <cell r="A166" t="str">
            <v>JKG63658</v>
          </cell>
          <cell r="B166">
            <v>46153</v>
          </cell>
          <cell r="C166" t="str">
            <v>已齐</v>
          </cell>
        </row>
        <row r="166">
          <cell r="G166" t="str">
            <v>JKG65008</v>
          </cell>
          <cell r="H166">
            <v>46112</v>
          </cell>
        </row>
        <row r="167">
          <cell r="A167" t="str">
            <v>JXN63660</v>
          </cell>
          <cell r="B167">
            <v>46153</v>
          </cell>
          <cell r="C167" t="str">
            <v>已齐</v>
          </cell>
        </row>
        <row r="167">
          <cell r="G167" t="str">
            <v>JTG63826</v>
          </cell>
          <cell r="H167">
            <v>46120</v>
          </cell>
        </row>
        <row r="168">
          <cell r="A168" t="str">
            <v>JCG63579</v>
          </cell>
          <cell r="B168">
            <v>46153</v>
          </cell>
          <cell r="C168" t="str">
            <v>已齐</v>
          </cell>
        </row>
        <row r="168">
          <cell r="G168" t="str">
            <v>JMG63827</v>
          </cell>
          <cell r="H168">
            <v>46142</v>
          </cell>
        </row>
        <row r="169">
          <cell r="A169" t="str">
            <v>JQG65804</v>
          </cell>
          <cell r="B169">
            <v>46155</v>
          </cell>
          <cell r="C169" t="str">
            <v>已齐</v>
          </cell>
        </row>
        <row r="169">
          <cell r="G169" t="str">
            <v>JYG64828</v>
          </cell>
          <cell r="H169">
            <v>46178</v>
          </cell>
        </row>
        <row r="170">
          <cell r="A170" t="str">
            <v>JMG63816</v>
          </cell>
          <cell r="B170">
            <v>46155</v>
          </cell>
          <cell r="C170" t="str">
            <v>已齐</v>
          </cell>
          <cell r="D170" t="str">
            <v>无成分唛</v>
          </cell>
        </row>
        <row r="170">
          <cell r="G170" t="str">
            <v>JRB63636</v>
          </cell>
          <cell r="H170">
            <v>46120</v>
          </cell>
        </row>
        <row r="171">
          <cell r="A171" t="str">
            <v>JMG63022</v>
          </cell>
          <cell r="B171">
            <v>46155</v>
          </cell>
          <cell r="C171" t="str">
            <v>已齐</v>
          </cell>
          <cell r="D171" t="str">
            <v>无成分唛</v>
          </cell>
        </row>
        <row r="171">
          <cell r="G171" t="str">
            <v>JJB63637</v>
          </cell>
          <cell r="H171">
            <v>46120</v>
          </cell>
        </row>
        <row r="172">
          <cell r="A172" t="str">
            <v>JJB63637</v>
          </cell>
          <cell r="B172">
            <v>46155</v>
          </cell>
          <cell r="C172" t="str">
            <v>已齐</v>
          </cell>
        </row>
        <row r="172">
          <cell r="G172" t="str">
            <v>JJB63638</v>
          </cell>
          <cell r="H172">
            <v>46120</v>
          </cell>
        </row>
        <row r="173">
          <cell r="A173" t="str">
            <v>JMG63023</v>
          </cell>
          <cell r="B173">
            <v>46155</v>
          </cell>
          <cell r="C173" t="str">
            <v>已齐</v>
          </cell>
          <cell r="D173" t="str">
            <v>无成分唛</v>
          </cell>
        </row>
        <row r="173">
          <cell r="G173" t="str">
            <v>JJB63639</v>
          </cell>
          <cell r="H173">
            <v>46120</v>
          </cell>
        </row>
        <row r="174">
          <cell r="A174" t="str">
            <v>JJG63034</v>
          </cell>
          <cell r="B174">
            <v>46155</v>
          </cell>
          <cell r="C174" t="str">
            <v>已齐</v>
          </cell>
        </row>
        <row r="174">
          <cell r="G174" t="str">
            <v>JJB63640</v>
          </cell>
          <cell r="H174">
            <v>46120</v>
          </cell>
        </row>
        <row r="175">
          <cell r="A175" t="str">
            <v>JTG63576</v>
          </cell>
          <cell r="B175">
            <v>46155</v>
          </cell>
          <cell r="C175" t="str">
            <v>已齐</v>
          </cell>
        </row>
        <row r="175">
          <cell r="G175" t="str">
            <v>JJG63641</v>
          </cell>
          <cell r="H175">
            <v>46114</v>
          </cell>
        </row>
        <row r="176">
          <cell r="A176" t="str">
            <v>JJG63575</v>
          </cell>
          <cell r="B176">
            <v>46155</v>
          </cell>
          <cell r="C176" t="str">
            <v>已齐</v>
          </cell>
        </row>
        <row r="176">
          <cell r="G176" t="str">
            <v>JXB63642</v>
          </cell>
          <cell r="H176">
            <v>46112</v>
          </cell>
        </row>
        <row r="177">
          <cell r="A177" t="str">
            <v>JLG63653</v>
          </cell>
          <cell r="B177">
            <v>46155</v>
          </cell>
          <cell r="C177" t="str">
            <v>已齐</v>
          </cell>
        </row>
        <row r="177">
          <cell r="G177" t="str">
            <v>JXB63643</v>
          </cell>
          <cell r="H177">
            <v>46112</v>
          </cell>
        </row>
        <row r="178">
          <cell r="A178" t="str">
            <v>JLG63657</v>
          </cell>
          <cell r="B178">
            <v>46155</v>
          </cell>
          <cell r="C178" t="str">
            <v>已齐</v>
          </cell>
          <cell r="D178" t="str">
            <v>无成分唛</v>
          </cell>
        </row>
        <row r="178">
          <cell r="G178" t="str">
            <v>JCB63644</v>
          </cell>
          <cell r="H178">
            <v>46125</v>
          </cell>
        </row>
        <row r="179">
          <cell r="A179" t="str">
            <v>JXB63587</v>
          </cell>
          <cell r="B179">
            <v>46155</v>
          </cell>
          <cell r="C179" t="str">
            <v>已齐</v>
          </cell>
        </row>
        <row r="179">
          <cell r="G179" t="str">
            <v>JLB63645</v>
          </cell>
          <cell r="H179">
            <v>46112</v>
          </cell>
        </row>
        <row r="180">
          <cell r="A180" t="str">
            <v>JLG63001</v>
          </cell>
          <cell r="B180">
            <v>46157</v>
          </cell>
          <cell r="C180" t="str">
            <v>已齐</v>
          </cell>
        </row>
        <row r="180">
          <cell r="G180" t="str">
            <v>JGB63646</v>
          </cell>
          <cell r="H180">
            <v>46120</v>
          </cell>
        </row>
        <row r="181">
          <cell r="A181" t="str">
            <v>JJG64503</v>
          </cell>
          <cell r="B181">
            <v>46157</v>
          </cell>
          <cell r="C181" t="str">
            <v>已齐</v>
          </cell>
        </row>
        <row r="181">
          <cell r="G181" t="str">
            <v>JKG63647</v>
          </cell>
          <cell r="H181">
            <v>46112</v>
          </cell>
        </row>
        <row r="182">
          <cell r="A182" t="str">
            <v>JCB63644</v>
          </cell>
          <cell r="B182">
            <v>46157</v>
          </cell>
          <cell r="C182" t="str">
            <v>已齐</v>
          </cell>
        </row>
        <row r="182">
          <cell r="G182" t="str">
            <v>JTG63648</v>
          </cell>
          <cell r="H182">
            <v>46120</v>
          </cell>
        </row>
        <row r="183">
          <cell r="A183" t="str">
            <v>JRB63032</v>
          </cell>
          <cell r="B183">
            <v>46157</v>
          </cell>
          <cell r="C183" t="str">
            <v>已齐</v>
          </cell>
        </row>
        <row r="183">
          <cell r="G183" t="str">
            <v>JHG63555</v>
          </cell>
          <cell r="H183">
            <v>46112</v>
          </cell>
        </row>
        <row r="184">
          <cell r="A184" t="str">
            <v>JJB63650</v>
          </cell>
          <cell r="B184">
            <v>46157</v>
          </cell>
          <cell r="C184" t="str">
            <v>已齐</v>
          </cell>
        </row>
        <row r="184">
          <cell r="G184" t="str">
            <v>JNG63556</v>
          </cell>
          <cell r="H184">
            <v>46152</v>
          </cell>
        </row>
        <row r="185">
          <cell r="A185" t="str">
            <v>JTG63834</v>
          </cell>
          <cell r="B185">
            <v>46157</v>
          </cell>
          <cell r="C185" t="str">
            <v>已齐</v>
          </cell>
          <cell r="D185" t="str">
            <v>马甲无成分唛</v>
          </cell>
        </row>
        <row r="185">
          <cell r="G185" t="str">
            <v>JNG63557</v>
          </cell>
          <cell r="H185">
            <v>46132</v>
          </cell>
        </row>
        <row r="186">
          <cell r="A186" t="str">
            <v>JTG63835</v>
          </cell>
          <cell r="B186">
            <v>46157</v>
          </cell>
          <cell r="C186" t="str">
            <v>已齐</v>
          </cell>
        </row>
        <row r="186">
          <cell r="G186" t="str">
            <v>JJN63559</v>
          </cell>
          <cell r="H186">
            <v>46112</v>
          </cell>
        </row>
        <row r="187">
          <cell r="A187" t="str">
            <v>JTG63036</v>
          </cell>
          <cell r="B187">
            <v>46157</v>
          </cell>
          <cell r="C187" t="str">
            <v>已齐</v>
          </cell>
        </row>
        <row r="187">
          <cell r="G187" t="str">
            <v>JTB63560</v>
          </cell>
          <cell r="H187">
            <v>46120</v>
          </cell>
        </row>
        <row r="188">
          <cell r="A188" t="str">
            <v>JTB63037</v>
          </cell>
          <cell r="B188">
            <v>46157</v>
          </cell>
          <cell r="C188" t="str">
            <v>已齐</v>
          </cell>
        </row>
        <row r="188">
          <cell r="G188" t="str">
            <v>JXG63561</v>
          </cell>
          <cell r="H188">
            <v>46112</v>
          </cell>
        </row>
        <row r="189">
          <cell r="A189" t="str">
            <v>JXG63039</v>
          </cell>
          <cell r="B189">
            <v>46157</v>
          </cell>
          <cell r="C189" t="str">
            <v>已齐</v>
          </cell>
        </row>
        <row r="189">
          <cell r="G189" t="str">
            <v>JXB63562</v>
          </cell>
          <cell r="H189">
            <v>46112</v>
          </cell>
        </row>
        <row r="190">
          <cell r="A190" t="str">
            <v>JQG63840</v>
          </cell>
          <cell r="B190">
            <v>46157</v>
          </cell>
          <cell r="C190" t="str">
            <v>已齐</v>
          </cell>
        </row>
        <row r="190">
          <cell r="G190" t="str">
            <v>JXB63563</v>
          </cell>
          <cell r="H190">
            <v>46112</v>
          </cell>
        </row>
        <row r="191">
          <cell r="A191" t="str">
            <v>JQG63841</v>
          </cell>
          <cell r="B191">
            <v>46157</v>
          </cell>
          <cell r="C191" t="str">
            <v>已齐</v>
          </cell>
        </row>
        <row r="191">
          <cell r="G191" t="str">
            <v>JXB63564</v>
          </cell>
          <cell r="H191">
            <v>46112</v>
          </cell>
        </row>
        <row r="192">
          <cell r="A192" t="str">
            <v>JJN63845</v>
          </cell>
          <cell r="B192">
            <v>46157</v>
          </cell>
          <cell r="C192" t="str">
            <v>已齐</v>
          </cell>
          <cell r="D192" t="str">
            <v>无成分唛</v>
          </cell>
        </row>
        <row r="192">
          <cell r="G192" t="str">
            <v>JKB63566</v>
          </cell>
          <cell r="H192">
            <v>46112</v>
          </cell>
        </row>
        <row r="193">
          <cell r="A193" t="str">
            <v>JJG63664</v>
          </cell>
          <cell r="B193">
            <v>46157</v>
          </cell>
          <cell r="C193" t="str">
            <v>已齐</v>
          </cell>
        </row>
        <row r="193">
          <cell r="G193" t="str">
            <v>JTG65807</v>
          </cell>
          <cell r="H193">
            <v>46152</v>
          </cell>
        </row>
        <row r="194">
          <cell r="A194" t="str">
            <v>JJB63665</v>
          </cell>
          <cell r="B194">
            <v>46157</v>
          </cell>
          <cell r="C194" t="str">
            <v>已齐</v>
          </cell>
        </row>
        <row r="194">
          <cell r="G194" t="str">
            <v>JMG63023</v>
          </cell>
          <cell r="H194">
            <v>46142</v>
          </cell>
        </row>
        <row r="195">
          <cell r="A195" t="str">
            <v>JKG63591</v>
          </cell>
          <cell r="B195">
            <v>46157</v>
          </cell>
          <cell r="C195" t="str">
            <v>已齐</v>
          </cell>
        </row>
        <row r="195">
          <cell r="G195" t="str">
            <v>JQG63024</v>
          </cell>
          <cell r="H195">
            <v>46114</v>
          </cell>
        </row>
        <row r="196">
          <cell r="A196" t="str">
            <v>JKG63049B</v>
          </cell>
          <cell r="B196">
            <v>46157</v>
          </cell>
          <cell r="C196" t="str">
            <v>已齐</v>
          </cell>
        </row>
        <row r="196">
          <cell r="G196" t="str">
            <v>JCG63025</v>
          </cell>
          <cell r="H196">
            <v>46114</v>
          </cell>
        </row>
        <row r="197">
          <cell r="A197" t="str">
            <v>JJG63617</v>
          </cell>
          <cell r="B197">
            <v>46158</v>
          </cell>
          <cell r="C197" t="str">
            <v>已齐</v>
          </cell>
        </row>
        <row r="197">
          <cell r="G197" t="str">
            <v>JKG63026</v>
          </cell>
          <cell r="H197">
            <v>46112</v>
          </cell>
        </row>
        <row r="198">
          <cell r="A198" t="str">
            <v>JTG63822</v>
          </cell>
          <cell r="B198">
            <v>46160</v>
          </cell>
          <cell r="C198" t="str">
            <v>已齐</v>
          </cell>
        </row>
        <row r="198">
          <cell r="G198" t="str">
            <v>JGG63027</v>
          </cell>
          <cell r="H198">
            <v>46112</v>
          </cell>
        </row>
        <row r="199">
          <cell r="A199" t="str">
            <v>JTG63833</v>
          </cell>
          <cell r="B199">
            <v>46160</v>
          </cell>
          <cell r="C199" t="str">
            <v>已齐</v>
          </cell>
        </row>
        <row r="199">
          <cell r="G199" t="str">
            <v>JJG63028</v>
          </cell>
          <cell r="H199">
            <v>46120</v>
          </cell>
        </row>
        <row r="200">
          <cell r="A200" t="str">
            <v>JXG63676</v>
          </cell>
          <cell r="B200">
            <v>46160</v>
          </cell>
          <cell r="C200" t="str">
            <v>已齐</v>
          </cell>
        </row>
        <row r="200">
          <cell r="G200" t="str">
            <v>JXB63029</v>
          </cell>
          <cell r="H200">
            <v>46112</v>
          </cell>
        </row>
        <row r="201">
          <cell r="A201" t="str">
            <v>JXG63683</v>
          </cell>
          <cell r="B201">
            <v>46160</v>
          </cell>
          <cell r="C201" t="str">
            <v>已齐</v>
          </cell>
        </row>
        <row r="201">
          <cell r="G201" t="str">
            <v>JXB63030</v>
          </cell>
          <cell r="H201">
            <v>46112</v>
          </cell>
        </row>
        <row r="202">
          <cell r="A202" t="str">
            <v>JXG63582</v>
          </cell>
          <cell r="B202">
            <v>46160</v>
          </cell>
          <cell r="C202" t="str">
            <v>已齐</v>
          </cell>
        </row>
        <row r="202">
          <cell r="G202" t="str">
            <v>JRB63031</v>
          </cell>
          <cell r="H202">
            <v>46120</v>
          </cell>
        </row>
        <row r="203">
          <cell r="A203" t="str">
            <v>JQG63589</v>
          </cell>
          <cell r="B203">
            <v>46160</v>
          </cell>
          <cell r="C203" t="str">
            <v>已齐</v>
          </cell>
        </row>
        <row r="203">
          <cell r="G203" t="str">
            <v>JRB63032</v>
          </cell>
          <cell r="H203">
            <v>46120</v>
          </cell>
        </row>
        <row r="204">
          <cell r="A204" t="str">
            <v>JTG63832</v>
          </cell>
          <cell r="B204">
            <v>46160</v>
          </cell>
          <cell r="C204" t="str">
            <v>已齐</v>
          </cell>
        </row>
        <row r="204">
          <cell r="G204" t="str">
            <v>JJB63649</v>
          </cell>
          <cell r="H204">
            <v>46120</v>
          </cell>
        </row>
        <row r="205">
          <cell r="A205" t="str">
            <v>JXG63577</v>
          </cell>
          <cell r="B205">
            <v>46160</v>
          </cell>
          <cell r="C205" t="str">
            <v>已齐</v>
          </cell>
        </row>
        <row r="205">
          <cell r="G205" t="str">
            <v>JJB63650</v>
          </cell>
          <cell r="H205">
            <v>46120</v>
          </cell>
        </row>
        <row r="206">
          <cell r="A206" t="str">
            <v>JJG63558</v>
          </cell>
          <cell r="B206">
            <v>46160</v>
          </cell>
          <cell r="C206" t="str">
            <v>已齐</v>
          </cell>
          <cell r="D206" t="str">
            <v>无成分唛</v>
          </cell>
        </row>
        <row r="206">
          <cell r="G206" t="str">
            <v>JKB63651</v>
          </cell>
          <cell r="H206">
            <v>46112</v>
          </cell>
        </row>
        <row r="207">
          <cell r="A207" t="str">
            <v>JQG63666</v>
          </cell>
          <cell r="B207">
            <v>46160</v>
          </cell>
          <cell r="C207" t="str">
            <v>已齐</v>
          </cell>
        </row>
        <row r="207">
          <cell r="G207" t="str">
            <v>JTB63652</v>
          </cell>
          <cell r="H207">
            <v>46120</v>
          </cell>
        </row>
        <row r="208">
          <cell r="A208" t="str">
            <v>JKN63659</v>
          </cell>
          <cell r="B208">
            <v>46160</v>
          </cell>
          <cell r="C208" t="str">
            <v>已齐</v>
          </cell>
        </row>
        <row r="208">
          <cell r="G208" t="str">
            <v>JXG63567</v>
          </cell>
          <cell r="H208">
            <v>46112</v>
          </cell>
        </row>
        <row r="209">
          <cell r="A209" t="str">
            <v>JJG63663</v>
          </cell>
          <cell r="B209">
            <v>46160</v>
          </cell>
          <cell r="C209" t="str">
            <v>已齐</v>
          </cell>
        </row>
        <row r="209">
          <cell r="G209" t="str">
            <v>JXG63568</v>
          </cell>
          <cell r="H209">
            <v>46112</v>
          </cell>
        </row>
        <row r="210">
          <cell r="A210" t="str">
            <v>JXG63586</v>
          </cell>
          <cell r="B210">
            <v>46160</v>
          </cell>
          <cell r="C210" t="str">
            <v>已齐</v>
          </cell>
        </row>
        <row r="210">
          <cell r="G210" t="str">
            <v>JXG63569</v>
          </cell>
          <cell r="H210">
            <v>46112</v>
          </cell>
        </row>
        <row r="211">
          <cell r="A211" t="str">
            <v>JCG63838</v>
          </cell>
          <cell r="B211">
            <v>46160</v>
          </cell>
          <cell r="C211" t="str">
            <v>已齐</v>
          </cell>
        </row>
        <row r="211">
          <cell r="G211" t="str">
            <v>JTG63570</v>
          </cell>
          <cell r="H211">
            <v>46112</v>
          </cell>
        </row>
        <row r="212">
          <cell r="A212" t="str">
            <v>JXG63452</v>
          </cell>
          <cell r="B212">
            <v>46160</v>
          </cell>
          <cell r="C212" t="str">
            <v>已齐</v>
          </cell>
        </row>
        <row r="212">
          <cell r="G212" t="str">
            <v>JJG65501</v>
          </cell>
          <cell r="H212">
            <v>46152</v>
          </cell>
        </row>
        <row r="213">
          <cell r="A213" t="str">
            <v>JXG63453</v>
          </cell>
          <cell r="B213">
            <v>46160</v>
          </cell>
          <cell r="C213" t="str">
            <v>已齐</v>
          </cell>
        </row>
        <row r="213">
          <cell r="G213" t="str">
            <v>JRG63829</v>
          </cell>
          <cell r="H213">
            <v>46112</v>
          </cell>
        </row>
        <row r="214">
          <cell r="A214" t="str">
            <v>JXG63052</v>
          </cell>
          <cell r="B214">
            <v>46160</v>
          </cell>
          <cell r="C214" t="str">
            <v>已齐</v>
          </cell>
        </row>
        <row r="214">
          <cell r="G214" t="str">
            <v>JRG63830</v>
          </cell>
          <cell r="H214">
            <v>46120</v>
          </cell>
        </row>
        <row r="215">
          <cell r="A215" t="str">
            <v>JQG63578</v>
          </cell>
          <cell r="B215">
            <v>46160</v>
          </cell>
          <cell r="C215" t="str">
            <v>已齐</v>
          </cell>
        </row>
        <row r="215">
          <cell r="G215" t="str">
            <v>JTG63831</v>
          </cell>
          <cell r="H215">
            <v>46112</v>
          </cell>
        </row>
        <row r="216">
          <cell r="A216" t="str">
            <v>JXG63684</v>
          </cell>
          <cell r="B216">
            <v>46160</v>
          </cell>
          <cell r="C216" t="str">
            <v>已齐</v>
          </cell>
        </row>
        <row r="216">
          <cell r="G216" t="str">
            <v>JYG64818</v>
          </cell>
          <cell r="H216">
            <v>46157</v>
          </cell>
        </row>
        <row r="217">
          <cell r="A217" t="str">
            <v>JQG63590</v>
          </cell>
          <cell r="B217">
            <v>46160</v>
          </cell>
          <cell r="C217" t="str">
            <v>已齐</v>
          </cell>
        </row>
        <row r="217">
          <cell r="G217" t="str">
            <v>JYG64829</v>
          </cell>
          <cell r="H217">
            <v>46157</v>
          </cell>
        </row>
        <row r="218">
          <cell r="A218" t="str">
            <v>JXN63675</v>
          </cell>
          <cell r="B218">
            <v>46160</v>
          </cell>
          <cell r="C218" t="str">
            <v>已齐</v>
          </cell>
        </row>
        <row r="218">
          <cell r="G218" t="str">
            <v>JTB63033</v>
          </cell>
          <cell r="H218">
            <v>46120</v>
          </cell>
        </row>
        <row r="219">
          <cell r="A219" t="str">
            <v>JKG63049</v>
          </cell>
          <cell r="B219">
            <v>46160</v>
          </cell>
          <cell r="C219" t="str">
            <v>已齐</v>
          </cell>
        </row>
        <row r="219">
          <cell r="G219" t="str">
            <v>JRB63573</v>
          </cell>
          <cell r="H219">
            <v>46120</v>
          </cell>
        </row>
        <row r="220">
          <cell r="A220" t="str">
            <v>JKG63583</v>
          </cell>
          <cell r="B220">
            <v>46160</v>
          </cell>
          <cell r="C220" t="str">
            <v>已齐</v>
          </cell>
        </row>
        <row r="220">
          <cell r="G220" t="str">
            <v>JJB63572</v>
          </cell>
          <cell r="H220">
            <v>46120</v>
          </cell>
        </row>
        <row r="221">
          <cell r="A221" t="str">
            <v>JRB63588</v>
          </cell>
          <cell r="B221">
            <v>46160</v>
          </cell>
          <cell r="C221" t="str">
            <v>已齐</v>
          </cell>
        </row>
        <row r="221">
          <cell r="G221" t="str">
            <v>JJG63571</v>
          </cell>
          <cell r="H221">
            <v>46120</v>
          </cell>
        </row>
        <row r="222">
          <cell r="A222" t="str">
            <v>JKG63848</v>
          </cell>
          <cell r="B222">
            <v>46160</v>
          </cell>
          <cell r="C222" t="str">
            <v>已齐</v>
          </cell>
        </row>
        <row r="222">
          <cell r="G222" t="str">
            <v>JTG63832</v>
          </cell>
          <cell r="H222">
            <v>46127</v>
          </cell>
        </row>
        <row r="223">
          <cell r="A223" t="str">
            <v>JKG63585</v>
          </cell>
          <cell r="B223">
            <v>46160</v>
          </cell>
          <cell r="C223" t="str">
            <v>已齐</v>
          </cell>
        </row>
        <row r="223">
          <cell r="G223" t="str">
            <v>JTG63833</v>
          </cell>
          <cell r="H223">
            <v>46127</v>
          </cell>
        </row>
        <row r="224">
          <cell r="A224" t="str">
            <v>JLG63043</v>
          </cell>
          <cell r="B224">
            <v>46160</v>
          </cell>
          <cell r="C224" t="str">
            <v>已齐</v>
          </cell>
        </row>
        <row r="224">
          <cell r="G224" t="str">
            <v>JTG63834</v>
          </cell>
          <cell r="H224">
            <v>46142</v>
          </cell>
        </row>
        <row r="225">
          <cell r="A225" t="str">
            <v>JLG63843</v>
          </cell>
          <cell r="B225">
            <v>46160</v>
          </cell>
          <cell r="C225" t="str">
            <v>已齐</v>
          </cell>
        </row>
        <row r="225">
          <cell r="G225" t="str">
            <v>JTG63835</v>
          </cell>
          <cell r="H225">
            <v>46127</v>
          </cell>
        </row>
        <row r="226">
          <cell r="A226" t="str">
            <v>JXG63842</v>
          </cell>
          <cell r="B226">
            <v>46160</v>
          </cell>
          <cell r="C226" t="str">
            <v>已齐</v>
          </cell>
        </row>
        <row r="226">
          <cell r="G226" t="str">
            <v>JTG63036</v>
          </cell>
          <cell r="H226">
            <v>46127</v>
          </cell>
        </row>
        <row r="227">
          <cell r="A227" t="str">
            <v>JMG65003</v>
          </cell>
          <cell r="B227">
            <v>46162</v>
          </cell>
          <cell r="C227" t="str">
            <v>已齐</v>
          </cell>
        </row>
        <row r="227">
          <cell r="G227" t="str">
            <v>JTB63037</v>
          </cell>
          <cell r="H227">
            <v>46127</v>
          </cell>
        </row>
        <row r="228">
          <cell r="A228" t="str">
            <v>JGB63646</v>
          </cell>
          <cell r="B228">
            <v>46162</v>
          </cell>
          <cell r="C228" t="str">
            <v>已齐</v>
          </cell>
          <cell r="D228" t="str">
            <v>无成分唛</v>
          </cell>
        </row>
        <row r="228">
          <cell r="G228" t="str">
            <v>JMG65006</v>
          </cell>
          <cell r="H228">
            <v>46150</v>
          </cell>
        </row>
        <row r="229">
          <cell r="A229" t="str">
            <v>JJB63649</v>
          </cell>
          <cell r="B229">
            <v>46162</v>
          </cell>
          <cell r="C229" t="str">
            <v>已齐</v>
          </cell>
        </row>
        <row r="229">
          <cell r="G229" t="str">
            <v>JJG63034</v>
          </cell>
          <cell r="H229">
            <v>46127</v>
          </cell>
        </row>
        <row r="230">
          <cell r="A230" t="str">
            <v>JQG63837</v>
          </cell>
          <cell r="B230">
            <v>46162</v>
          </cell>
          <cell r="C230" t="str">
            <v>已齐</v>
          </cell>
        </row>
        <row r="230">
          <cell r="G230" t="str">
            <v>JTG63576</v>
          </cell>
          <cell r="H230">
            <v>46127</v>
          </cell>
        </row>
        <row r="231">
          <cell r="A231" t="str">
            <v>JLG63584</v>
          </cell>
          <cell r="B231">
            <v>46162</v>
          </cell>
          <cell r="C231" t="str">
            <v>已齐</v>
          </cell>
        </row>
        <row r="231">
          <cell r="G231" t="str">
            <v>JTG63574</v>
          </cell>
          <cell r="H231">
            <v>46130</v>
          </cell>
        </row>
        <row r="232">
          <cell r="A232" t="str">
            <v>JLG63655</v>
          </cell>
          <cell r="B232">
            <v>46162</v>
          </cell>
          <cell r="C232" t="str">
            <v>已齐</v>
          </cell>
        </row>
        <row r="232">
          <cell r="G232" t="str">
            <v>JJG63575</v>
          </cell>
          <cell r="H232">
            <v>46127</v>
          </cell>
        </row>
        <row r="233">
          <cell r="A233" t="str">
            <v>JLG63656</v>
          </cell>
          <cell r="B233">
            <v>46162</v>
          </cell>
          <cell r="C233" t="str">
            <v>已齐</v>
          </cell>
        </row>
        <row r="233">
          <cell r="G233" t="str">
            <v>JKG63038</v>
          </cell>
          <cell r="H233">
            <v>46129</v>
          </cell>
        </row>
        <row r="234">
          <cell r="A234" t="str">
            <v>JMG63045</v>
          </cell>
          <cell r="B234">
            <v>46162</v>
          </cell>
          <cell r="C234" t="str">
            <v>已齐</v>
          </cell>
        </row>
        <row r="234">
          <cell r="G234" t="str">
            <v>JXG63039</v>
          </cell>
          <cell r="H234">
            <v>46129</v>
          </cell>
        </row>
        <row r="235">
          <cell r="A235" t="str">
            <v>JKG63580</v>
          </cell>
          <cell r="B235">
            <v>46162</v>
          </cell>
          <cell r="C235" t="str">
            <v>已齐</v>
          </cell>
        </row>
        <row r="235">
          <cell r="G235" t="str">
            <v>JXG63040</v>
          </cell>
          <cell r="H235">
            <v>46129</v>
          </cell>
        </row>
        <row r="236">
          <cell r="A236" t="str">
            <v>JXG63595</v>
          </cell>
          <cell r="B236">
            <v>46162</v>
          </cell>
          <cell r="C236" t="str">
            <v>已齐</v>
          </cell>
        </row>
        <row r="236">
          <cell r="G236" t="str">
            <v>JCG63836</v>
          </cell>
          <cell r="H236">
            <v>46132</v>
          </cell>
        </row>
        <row r="237">
          <cell r="A237" t="str">
            <v>JTG63668</v>
          </cell>
          <cell r="B237">
            <v>46162</v>
          </cell>
          <cell r="C237" t="str">
            <v>已齐</v>
          </cell>
        </row>
        <row r="237">
          <cell r="G237" t="str">
            <v>JQG63837</v>
          </cell>
          <cell r="H237">
            <v>46132</v>
          </cell>
        </row>
        <row r="238">
          <cell r="A238" t="str">
            <v>JXG63677</v>
          </cell>
          <cell r="B238">
            <v>46162</v>
          </cell>
          <cell r="C238" t="str">
            <v>已齐</v>
          </cell>
        </row>
        <row r="238">
          <cell r="G238" t="str">
            <v>JCG63838</v>
          </cell>
          <cell r="H238">
            <v>46129</v>
          </cell>
        </row>
        <row r="239">
          <cell r="A239" t="str">
            <v>JDG63048</v>
          </cell>
          <cell r="B239">
            <v>46162</v>
          </cell>
          <cell r="C239" t="str">
            <v>已齐</v>
          </cell>
        </row>
        <row r="239">
          <cell r="G239" t="str">
            <v>JTG63839</v>
          </cell>
          <cell r="H239">
            <v>46132</v>
          </cell>
        </row>
        <row r="240">
          <cell r="A240" t="str">
            <v>JJG63060</v>
          </cell>
          <cell r="B240">
            <v>46162</v>
          </cell>
          <cell r="C240" t="str">
            <v>已齐</v>
          </cell>
        </row>
        <row r="240">
          <cell r="G240" t="str">
            <v>JQG63840</v>
          </cell>
          <cell r="H240">
            <v>46131</v>
          </cell>
        </row>
        <row r="241">
          <cell r="A241" t="str">
            <v>JXB63691</v>
          </cell>
          <cell r="B241">
            <v>46162</v>
          </cell>
          <cell r="C241" t="str">
            <v>已齐</v>
          </cell>
        </row>
        <row r="241">
          <cell r="G241" t="str">
            <v>JQG63841</v>
          </cell>
          <cell r="H241">
            <v>46131</v>
          </cell>
        </row>
        <row r="242">
          <cell r="A242" t="str">
            <v>JGN64811</v>
          </cell>
          <cell r="B242">
            <v>46164</v>
          </cell>
          <cell r="C242" t="str">
            <v>已齐</v>
          </cell>
        </row>
        <row r="242">
          <cell r="G242" t="str">
            <v>JXG63842</v>
          </cell>
          <cell r="H242">
            <v>46129</v>
          </cell>
        </row>
        <row r="243">
          <cell r="A243" t="str">
            <v>JTG63574</v>
          </cell>
          <cell r="B243">
            <v>46164</v>
          </cell>
          <cell r="C243" t="str">
            <v>已齐</v>
          </cell>
        </row>
        <row r="243">
          <cell r="G243" t="str">
            <v>JLG63843</v>
          </cell>
          <cell r="H243">
            <v>46129</v>
          </cell>
        </row>
        <row r="244">
          <cell r="A244" t="str">
            <v>JKG63038</v>
          </cell>
          <cell r="B244">
            <v>46164</v>
          </cell>
          <cell r="C244" t="str">
            <v>已齐</v>
          </cell>
        </row>
        <row r="244">
          <cell r="G244" t="str">
            <v>JJN63844</v>
          </cell>
          <cell r="H244">
            <v>46128</v>
          </cell>
        </row>
        <row r="245">
          <cell r="A245" t="str">
            <v>JTG63839</v>
          </cell>
          <cell r="B245">
            <v>46164</v>
          </cell>
          <cell r="C245" t="str">
            <v>已齐</v>
          </cell>
        </row>
        <row r="245">
          <cell r="G245" t="str">
            <v>JJN63845</v>
          </cell>
          <cell r="H245">
            <v>46128</v>
          </cell>
        </row>
        <row r="246">
          <cell r="A246" t="str">
            <v>JJN63844</v>
          </cell>
          <cell r="B246">
            <v>46164</v>
          </cell>
          <cell r="C246" t="str">
            <v>已齐</v>
          </cell>
          <cell r="D246" t="str">
            <v>无成分唛</v>
          </cell>
        </row>
        <row r="246">
          <cell r="G246" t="str">
            <v>JJG63846</v>
          </cell>
          <cell r="H246">
            <v>46128</v>
          </cell>
        </row>
        <row r="247">
          <cell r="A247" t="str">
            <v>JTG63667</v>
          </cell>
          <cell r="B247">
            <v>46164</v>
          </cell>
          <cell r="C247" t="str">
            <v>已齐</v>
          </cell>
        </row>
        <row r="247">
          <cell r="G247" t="str">
            <v>JJG63847</v>
          </cell>
          <cell r="H247">
            <v>46132</v>
          </cell>
        </row>
        <row r="248">
          <cell r="A248" t="str">
            <v>JAN64005</v>
          </cell>
          <cell r="B248">
            <v>46164</v>
          </cell>
          <cell r="C248" t="str">
            <v>已齐</v>
          </cell>
        </row>
        <row r="248">
          <cell r="G248" t="str">
            <v>JJG63558</v>
          </cell>
          <cell r="H248">
            <v>46132</v>
          </cell>
        </row>
        <row r="249">
          <cell r="A249" t="str">
            <v>JTB63592</v>
          </cell>
          <cell r="B249">
            <v>46164</v>
          </cell>
          <cell r="C249" t="str">
            <v>已齐</v>
          </cell>
        </row>
        <row r="249">
          <cell r="G249" t="str">
            <v>JXG63586</v>
          </cell>
          <cell r="H249">
            <v>46128</v>
          </cell>
        </row>
        <row r="250">
          <cell r="A250" t="str">
            <v>JTB63593</v>
          </cell>
          <cell r="B250">
            <v>46164</v>
          </cell>
          <cell r="C250" t="str">
            <v>已齐</v>
          </cell>
        </row>
        <row r="250">
          <cell r="G250" t="str">
            <v>JXG63581</v>
          </cell>
          <cell r="H250">
            <v>46130</v>
          </cell>
        </row>
        <row r="251">
          <cell r="A251" t="str">
            <v>JNG63849</v>
          </cell>
          <cell r="B251">
            <v>46164</v>
          </cell>
          <cell r="C251" t="str">
            <v>已齐</v>
          </cell>
        </row>
        <row r="251">
          <cell r="G251" t="str">
            <v>JXG63582</v>
          </cell>
          <cell r="H251">
            <v>46130</v>
          </cell>
        </row>
        <row r="252">
          <cell r="A252" t="str">
            <v>JZG63850</v>
          </cell>
          <cell r="B252">
            <v>46164</v>
          </cell>
          <cell r="C252" t="str">
            <v>已齐</v>
          </cell>
        </row>
        <row r="252">
          <cell r="G252" t="str">
            <v>JKG63583</v>
          </cell>
          <cell r="H252">
            <v>46130</v>
          </cell>
        </row>
        <row r="253">
          <cell r="A253" t="str">
            <v>JHG63851</v>
          </cell>
          <cell r="B253">
            <v>46164</v>
          </cell>
          <cell r="C253" t="str">
            <v>已齐</v>
          </cell>
          <cell r="D253" t="str">
            <v>无成分唛</v>
          </cell>
        </row>
        <row r="253">
          <cell r="G253" t="str">
            <v>JLG63584</v>
          </cell>
          <cell r="H253">
            <v>46130</v>
          </cell>
        </row>
        <row r="254">
          <cell r="A254" t="str">
            <v>JGB63046</v>
          </cell>
          <cell r="B254">
            <v>46164</v>
          </cell>
          <cell r="C254" t="str">
            <v>已齐</v>
          </cell>
        </row>
        <row r="254">
          <cell r="G254" t="str">
            <v>JKG63585</v>
          </cell>
          <cell r="H254">
            <v>46129</v>
          </cell>
        </row>
        <row r="255">
          <cell r="A255" t="str">
            <v>JXB63864</v>
          </cell>
          <cell r="B255">
            <v>46164</v>
          </cell>
          <cell r="C255" t="str">
            <v>已齐</v>
          </cell>
        </row>
        <row r="255">
          <cell r="G255" t="str">
            <v>JLG63653</v>
          </cell>
          <cell r="H255">
            <v>46129</v>
          </cell>
        </row>
        <row r="256">
          <cell r="A256" t="str">
            <v>JJG63694</v>
          </cell>
          <cell r="B256">
            <v>46164</v>
          </cell>
          <cell r="C256" t="str">
            <v>已齐</v>
          </cell>
        </row>
        <row r="256">
          <cell r="G256" t="str">
            <v>JLG63655</v>
          </cell>
          <cell r="H256">
            <v>46130</v>
          </cell>
        </row>
        <row r="257">
          <cell r="A257" t="str">
            <v>JRG63464</v>
          </cell>
          <cell r="B257">
            <v>46164</v>
          </cell>
          <cell r="C257" t="str">
            <v>已齐</v>
          </cell>
        </row>
        <row r="257">
          <cell r="G257" t="str">
            <v>JLG63656</v>
          </cell>
          <cell r="H257">
            <v>46130</v>
          </cell>
        </row>
        <row r="258">
          <cell r="A258" t="str">
            <v>JJG63874</v>
          </cell>
          <cell r="B258">
            <v>46164</v>
          </cell>
          <cell r="C258" t="str">
            <v>已齐</v>
          </cell>
        </row>
        <row r="258">
          <cell r="G258" t="str">
            <v>JLG63657</v>
          </cell>
          <cell r="H258">
            <v>46131</v>
          </cell>
        </row>
        <row r="259">
          <cell r="A259" t="str">
            <v>JXG63474</v>
          </cell>
          <cell r="B259">
            <v>46164</v>
          </cell>
          <cell r="C259" t="str">
            <v>已齐</v>
          </cell>
        </row>
        <row r="259">
          <cell r="G259" t="str">
            <v>JKG63658</v>
          </cell>
          <cell r="H259">
            <v>46129</v>
          </cell>
        </row>
        <row r="260">
          <cell r="A260" t="str">
            <v>JJN65801</v>
          </cell>
          <cell r="B260">
            <v>46167</v>
          </cell>
          <cell r="C260" t="str">
            <v>已齐</v>
          </cell>
        </row>
        <row r="260">
          <cell r="G260" t="str">
            <v>JKN63659</v>
          </cell>
          <cell r="H260">
            <v>46129</v>
          </cell>
        </row>
        <row r="261">
          <cell r="A261" t="str">
            <v>JKG65002</v>
          </cell>
          <cell r="B261">
            <v>46167</v>
          </cell>
          <cell r="C261" t="str">
            <v>已齐</v>
          </cell>
        </row>
        <row r="261">
          <cell r="G261" t="str">
            <v>JXN63660</v>
          </cell>
          <cell r="H261">
            <v>46126</v>
          </cell>
        </row>
        <row r="262">
          <cell r="A262" t="str">
            <v>JQG65004</v>
          </cell>
          <cell r="B262">
            <v>46167</v>
          </cell>
          <cell r="C262" t="str">
            <v>已齐</v>
          </cell>
          <cell r="D262" t="str">
            <v>无成分唛</v>
          </cell>
        </row>
        <row r="262">
          <cell r="G262" t="str">
            <v>JJG63661</v>
          </cell>
          <cell r="H262">
            <v>46128</v>
          </cell>
        </row>
        <row r="263">
          <cell r="A263" t="str">
            <v>JQG63823</v>
          </cell>
          <cell r="B263">
            <v>46167</v>
          </cell>
          <cell r="C263" t="str">
            <v>已齐</v>
          </cell>
        </row>
        <row r="263">
          <cell r="G263" t="str">
            <v>JJG63662</v>
          </cell>
          <cell r="H263">
            <v>46128</v>
          </cell>
        </row>
        <row r="264">
          <cell r="A264" t="str">
            <v>JNG63557</v>
          </cell>
          <cell r="B264">
            <v>46167</v>
          </cell>
          <cell r="C264" t="str">
            <v>已齐</v>
          </cell>
        </row>
        <row r="264">
          <cell r="G264" t="str">
            <v>JJG63663</v>
          </cell>
          <cell r="H264">
            <v>46128</v>
          </cell>
        </row>
        <row r="265">
          <cell r="A265" t="str">
            <v>JCG63836</v>
          </cell>
          <cell r="B265">
            <v>46167</v>
          </cell>
          <cell r="C265" t="str">
            <v>已齐</v>
          </cell>
        </row>
        <row r="265">
          <cell r="G265" t="str">
            <v>JJG63664</v>
          </cell>
          <cell r="H265">
            <v>46128</v>
          </cell>
        </row>
        <row r="266">
          <cell r="A266" t="str">
            <v>JJG63661</v>
          </cell>
          <cell r="B266">
            <v>46167</v>
          </cell>
          <cell r="C266" t="str">
            <v>已齐</v>
          </cell>
        </row>
        <row r="266">
          <cell r="G266" t="str">
            <v>JJB63665</v>
          </cell>
          <cell r="H266">
            <v>46128</v>
          </cell>
        </row>
        <row r="267">
          <cell r="A267" t="str">
            <v>JJG63662</v>
          </cell>
          <cell r="B267">
            <v>46167</v>
          </cell>
          <cell r="C267" t="str">
            <v>已齐</v>
          </cell>
        </row>
        <row r="267">
          <cell r="G267" t="str">
            <v>JQG63666</v>
          </cell>
          <cell r="H267">
            <v>46128</v>
          </cell>
        </row>
        <row r="268">
          <cell r="A268" t="str">
            <v>JJG63042</v>
          </cell>
          <cell r="B268">
            <v>46167</v>
          </cell>
          <cell r="C268" t="str">
            <v>已齐</v>
          </cell>
        </row>
        <row r="268">
          <cell r="G268" t="str">
            <v>JTG63667</v>
          </cell>
          <cell r="H268">
            <v>46132</v>
          </cell>
        </row>
        <row r="269">
          <cell r="A269" t="str">
            <v>JJG63671</v>
          </cell>
          <cell r="B269">
            <v>46167</v>
          </cell>
          <cell r="C269" t="str">
            <v>已齐</v>
          </cell>
        </row>
        <row r="269">
          <cell r="G269" t="str">
            <v>JJG65601</v>
          </cell>
          <cell r="H269">
            <v>46150</v>
          </cell>
        </row>
        <row r="270">
          <cell r="A270" t="str">
            <v>JRG63672</v>
          </cell>
          <cell r="B270">
            <v>46167</v>
          </cell>
          <cell r="C270" t="str">
            <v>已齐</v>
          </cell>
        </row>
        <row r="270">
          <cell r="G270" t="str">
            <v>JDG63041</v>
          </cell>
          <cell r="H270">
            <v>46142</v>
          </cell>
        </row>
        <row r="271">
          <cell r="A271" t="str">
            <v>JXG63852</v>
          </cell>
          <cell r="B271">
            <v>46167</v>
          </cell>
          <cell r="C271" t="str">
            <v>已齐</v>
          </cell>
        </row>
        <row r="271">
          <cell r="G271" t="str">
            <v>JJG63042</v>
          </cell>
          <cell r="H271">
            <v>46131</v>
          </cell>
        </row>
        <row r="272">
          <cell r="A272" t="str">
            <v>JTG63853</v>
          </cell>
          <cell r="B272">
            <v>46167</v>
          </cell>
          <cell r="C272" t="str">
            <v>已齐</v>
          </cell>
        </row>
        <row r="272">
          <cell r="G272" t="str">
            <v>JLG63043</v>
          </cell>
          <cell r="H272">
            <v>46129</v>
          </cell>
        </row>
        <row r="273">
          <cell r="A273" t="str">
            <v>JGB63047</v>
          </cell>
          <cell r="B273">
            <v>46167</v>
          </cell>
          <cell r="C273" t="str">
            <v>已齐</v>
          </cell>
        </row>
        <row r="273">
          <cell r="G273" t="str">
            <v>JMG63045</v>
          </cell>
          <cell r="H273">
            <v>46142</v>
          </cell>
        </row>
        <row r="274">
          <cell r="A274" t="str">
            <v>JJG63451</v>
          </cell>
          <cell r="B274">
            <v>46167</v>
          </cell>
          <cell r="C274" t="str">
            <v>已齐</v>
          </cell>
        </row>
        <row r="274">
          <cell r="G274" t="str">
            <v>JAB64001</v>
          </cell>
          <cell r="H274">
            <v>46147</v>
          </cell>
        </row>
        <row r="275">
          <cell r="A275" t="str">
            <v>JJG63456</v>
          </cell>
          <cell r="B275">
            <v>46167</v>
          </cell>
          <cell r="C275" t="str">
            <v>已齐</v>
          </cell>
        </row>
        <row r="275">
          <cell r="G275" t="str">
            <v>JXG63577</v>
          </cell>
          <cell r="H275">
            <v>46129</v>
          </cell>
        </row>
        <row r="276">
          <cell r="A276" t="str">
            <v>JXG63454</v>
          </cell>
          <cell r="B276">
            <v>46167</v>
          </cell>
          <cell r="C276" t="str">
            <v>已齐</v>
          </cell>
        </row>
        <row r="276">
          <cell r="G276" t="str">
            <v>JQG63578</v>
          </cell>
          <cell r="H276">
            <v>46131</v>
          </cell>
        </row>
        <row r="277">
          <cell r="A277" t="str">
            <v>JDG63457</v>
          </cell>
          <cell r="B277">
            <v>46167</v>
          </cell>
          <cell r="C277" t="str">
            <v>已齐</v>
          </cell>
        </row>
        <row r="277">
          <cell r="G277" t="str">
            <v>JCG63579</v>
          </cell>
          <cell r="H277">
            <v>46131</v>
          </cell>
        </row>
        <row r="278">
          <cell r="A278" t="str">
            <v>JLG63461</v>
          </cell>
          <cell r="B278">
            <v>46167</v>
          </cell>
          <cell r="C278" t="str">
            <v>已齐</v>
          </cell>
        </row>
        <row r="278">
          <cell r="G278" t="str">
            <v>JKG63580</v>
          </cell>
          <cell r="H278">
            <v>46132</v>
          </cell>
        </row>
        <row r="279">
          <cell r="A279" t="str">
            <v>JTG63460</v>
          </cell>
          <cell r="B279">
            <v>46167</v>
          </cell>
          <cell r="C279" t="str">
            <v>已齐</v>
          </cell>
        </row>
        <row r="279">
          <cell r="G279" t="str">
            <v>JXG63595</v>
          </cell>
          <cell r="H279">
            <v>46132</v>
          </cell>
        </row>
        <row r="280">
          <cell r="A280" t="str">
            <v>JHN63057</v>
          </cell>
          <cell r="B280">
            <v>46167</v>
          </cell>
          <cell r="C280" t="str">
            <v>已齐</v>
          </cell>
        </row>
        <row r="280">
          <cell r="G280" t="str">
            <v>JXB63587</v>
          </cell>
          <cell r="H280">
            <v>46132</v>
          </cell>
        </row>
        <row r="281">
          <cell r="A281" t="str">
            <v>JDG63058</v>
          </cell>
          <cell r="B281">
            <v>46167</v>
          </cell>
          <cell r="C281" t="str">
            <v>已齐</v>
          </cell>
        </row>
        <row r="281">
          <cell r="G281" t="str">
            <v>JRB63588</v>
          </cell>
          <cell r="H281">
            <v>46132</v>
          </cell>
        </row>
        <row r="282">
          <cell r="A282" t="str">
            <v>JLG63681</v>
          </cell>
          <cell r="B282">
            <v>46167</v>
          </cell>
          <cell r="C282" t="str">
            <v>已齐</v>
          </cell>
        </row>
        <row r="282">
          <cell r="G282" t="str">
            <v>JQG63589</v>
          </cell>
          <cell r="H282">
            <v>46133</v>
          </cell>
        </row>
        <row r="283">
          <cell r="A283" t="str">
            <v>JKG63682</v>
          </cell>
          <cell r="B283">
            <v>46167</v>
          </cell>
          <cell r="C283" t="str">
            <v>已齐</v>
          </cell>
        </row>
        <row r="283">
          <cell r="G283" t="str">
            <v>JQG63590</v>
          </cell>
          <cell r="H283">
            <v>46132</v>
          </cell>
        </row>
        <row r="284">
          <cell r="A284" t="str">
            <v>JTB63465</v>
          </cell>
          <cell r="B284">
            <v>46167</v>
          </cell>
          <cell r="C284" t="str">
            <v>已齐</v>
          </cell>
        </row>
        <row r="284">
          <cell r="G284" t="str">
            <v>JKG63591</v>
          </cell>
          <cell r="H284">
            <v>46132</v>
          </cell>
        </row>
        <row r="285">
          <cell r="A285" t="str">
            <v>JTG63061</v>
          </cell>
          <cell r="B285">
            <v>46167</v>
          </cell>
          <cell r="C285" t="str">
            <v>已齐</v>
          </cell>
        </row>
        <row r="285">
          <cell r="G285" t="str">
            <v>JNN65506</v>
          </cell>
          <cell r="H285">
            <v>46154</v>
          </cell>
        </row>
        <row r="286">
          <cell r="A286" t="str">
            <v>JKG63351</v>
          </cell>
          <cell r="B286">
            <v>46167</v>
          </cell>
          <cell r="C286" t="str">
            <v>已齐</v>
          </cell>
        </row>
        <row r="286">
          <cell r="G286" t="str">
            <v>JTB63592</v>
          </cell>
          <cell r="H286">
            <v>46134</v>
          </cell>
        </row>
        <row r="287">
          <cell r="A287" t="str">
            <v>JXB63072</v>
          </cell>
          <cell r="B287">
            <v>46167</v>
          </cell>
          <cell r="C287" t="str">
            <v>已齐</v>
          </cell>
        </row>
        <row r="287">
          <cell r="G287" t="str">
            <v>JTB63593</v>
          </cell>
          <cell r="H287">
            <v>46134</v>
          </cell>
        </row>
        <row r="288">
          <cell r="A288" t="str">
            <v>JXG63872</v>
          </cell>
          <cell r="B288">
            <v>46167</v>
          </cell>
          <cell r="C288" t="str">
            <v>已齐</v>
          </cell>
        </row>
        <row r="288">
          <cell r="G288" t="str">
            <v>JRN65503</v>
          </cell>
          <cell r="H288">
            <v>46156</v>
          </cell>
        </row>
        <row r="289">
          <cell r="A289" t="str">
            <v>JMG63827</v>
          </cell>
          <cell r="B289">
            <v>46169</v>
          </cell>
          <cell r="C289" t="str">
            <v>已齐</v>
          </cell>
          <cell r="D289" t="str">
            <v>无成分唛</v>
          </cell>
        </row>
        <row r="289">
          <cell r="G289" t="str">
            <v>JKN65504</v>
          </cell>
          <cell r="H289">
            <v>46156</v>
          </cell>
        </row>
        <row r="290">
          <cell r="A290" t="str">
            <v>JDG63041</v>
          </cell>
          <cell r="B290">
            <v>46169</v>
          </cell>
          <cell r="C290" t="str">
            <v>已齐</v>
          </cell>
          <cell r="D290" t="str">
            <v>无成分唛</v>
          </cell>
        </row>
        <row r="290">
          <cell r="G290" t="str">
            <v>JAG64507</v>
          </cell>
          <cell r="H290">
            <v>46154</v>
          </cell>
        </row>
        <row r="291">
          <cell r="A291" t="str">
            <v>JJG63670</v>
          </cell>
          <cell r="B291">
            <v>46169</v>
          </cell>
          <cell r="C291" t="str">
            <v>已齐</v>
          </cell>
        </row>
        <row r="291">
          <cell r="G291" t="str">
            <v>JTG63668</v>
          </cell>
          <cell r="H291">
            <v>46134</v>
          </cell>
        </row>
        <row r="292">
          <cell r="A292" t="str">
            <v>JXG63674</v>
          </cell>
          <cell r="B292">
            <v>46169</v>
          </cell>
          <cell r="C292" t="str">
            <v>已齐</v>
          </cell>
        </row>
        <row r="292">
          <cell r="G292" t="str">
            <v>JTG63669</v>
          </cell>
          <cell r="H292">
            <v>46144</v>
          </cell>
        </row>
        <row r="293">
          <cell r="A293" t="str">
            <v>JHG63599</v>
          </cell>
          <cell r="B293">
            <v>46169</v>
          </cell>
          <cell r="C293" t="str">
            <v>已齐</v>
          </cell>
        </row>
        <row r="293">
          <cell r="G293" t="str">
            <v>JJG63670</v>
          </cell>
          <cell r="H293">
            <v>46134</v>
          </cell>
        </row>
        <row r="294">
          <cell r="A294" t="str">
            <v>JJG63450</v>
          </cell>
          <cell r="B294">
            <v>46169</v>
          </cell>
          <cell r="C294" t="str">
            <v>已齐</v>
          </cell>
        </row>
        <row r="294">
          <cell r="G294" t="str">
            <v>JJG63671</v>
          </cell>
          <cell r="H294">
            <v>46132</v>
          </cell>
        </row>
        <row r="295">
          <cell r="A295" t="str">
            <v>JTG63459</v>
          </cell>
          <cell r="B295">
            <v>46169</v>
          </cell>
          <cell r="C295" t="str">
            <v>已齐</v>
          </cell>
        </row>
        <row r="295">
          <cell r="G295" t="str">
            <v>JRG63672</v>
          </cell>
          <cell r="H295">
            <v>46132</v>
          </cell>
        </row>
        <row r="296">
          <cell r="A296" t="str">
            <v>JXG63050</v>
          </cell>
          <cell r="B296">
            <v>46169</v>
          </cell>
          <cell r="C296" t="str">
            <v>已齐</v>
          </cell>
        </row>
        <row r="296">
          <cell r="G296" t="str">
            <v>JXG63674</v>
          </cell>
          <cell r="H296">
            <v>46134</v>
          </cell>
        </row>
        <row r="297">
          <cell r="A297" t="str">
            <v>JJG63051</v>
          </cell>
          <cell r="B297">
            <v>46169</v>
          </cell>
          <cell r="C297" t="str">
            <v>已齐</v>
          </cell>
        </row>
        <row r="297">
          <cell r="G297" t="str">
            <v>JXN63675</v>
          </cell>
          <cell r="H297">
            <v>46132</v>
          </cell>
        </row>
        <row r="298">
          <cell r="A298" t="str">
            <v>JJG63054</v>
          </cell>
          <cell r="B298">
            <v>46169</v>
          </cell>
          <cell r="C298" t="str">
            <v>已齐</v>
          </cell>
          <cell r="D298" t="str">
            <v>无成分唛</v>
          </cell>
        </row>
        <row r="298">
          <cell r="G298" t="str">
            <v>JXG63676</v>
          </cell>
          <cell r="H298">
            <v>46132</v>
          </cell>
        </row>
        <row r="299">
          <cell r="A299" t="str">
            <v>JKG63059</v>
          </cell>
          <cell r="B299">
            <v>46169</v>
          </cell>
          <cell r="C299" t="str">
            <v>已齐</v>
          </cell>
        </row>
        <row r="299">
          <cell r="G299" t="str">
            <v>JXG63677</v>
          </cell>
          <cell r="H299">
            <v>46132</v>
          </cell>
        </row>
        <row r="300">
          <cell r="A300" t="str">
            <v>JLG63679</v>
          </cell>
          <cell r="B300">
            <v>46169</v>
          </cell>
          <cell r="C300" t="str">
            <v>已齐</v>
          </cell>
        </row>
        <row r="300">
          <cell r="G300" t="str">
            <v>JJG65602</v>
          </cell>
          <cell r="H300">
            <v>46154</v>
          </cell>
        </row>
        <row r="301">
          <cell r="A301" t="str">
            <v>JXG63685</v>
          </cell>
          <cell r="B301">
            <v>46169</v>
          </cell>
          <cell r="C301" t="str">
            <v>已齐</v>
          </cell>
        </row>
        <row r="301">
          <cell r="G301" t="str">
            <v>JKG63848</v>
          </cell>
          <cell r="H301">
            <v>46132</v>
          </cell>
        </row>
        <row r="302">
          <cell r="A302" t="str">
            <v>JKB63688</v>
          </cell>
          <cell r="B302">
            <v>46169</v>
          </cell>
          <cell r="C302" t="str">
            <v>已齐</v>
          </cell>
        </row>
        <row r="302">
          <cell r="G302" t="str">
            <v>JNG63849</v>
          </cell>
          <cell r="H302">
            <v>46134</v>
          </cell>
        </row>
        <row r="303">
          <cell r="A303" t="str">
            <v>JLG63855</v>
          </cell>
          <cell r="B303">
            <v>46169</v>
          </cell>
          <cell r="C303" t="str">
            <v>已齐</v>
          </cell>
        </row>
        <row r="303">
          <cell r="G303" t="str">
            <v>JZG63850</v>
          </cell>
          <cell r="H303">
            <v>46134</v>
          </cell>
        </row>
        <row r="304">
          <cell r="A304" t="str">
            <v>JJG63857</v>
          </cell>
          <cell r="B304">
            <v>46169</v>
          </cell>
          <cell r="C304" t="str">
            <v>已齐</v>
          </cell>
          <cell r="D304" t="str">
            <v>无成分唛</v>
          </cell>
        </row>
        <row r="304">
          <cell r="G304" t="str">
            <v>JHG63851</v>
          </cell>
          <cell r="H304">
            <v>46134</v>
          </cell>
        </row>
        <row r="305">
          <cell r="A305" t="str">
            <v>JXG63859</v>
          </cell>
          <cell r="B305">
            <v>46169</v>
          </cell>
          <cell r="C305" t="str">
            <v>已齐</v>
          </cell>
        </row>
        <row r="305">
          <cell r="G305" t="str">
            <v>JXG63852</v>
          </cell>
          <cell r="H305">
            <v>46132</v>
          </cell>
        </row>
        <row r="306">
          <cell r="A306" t="str">
            <v>JTG63860</v>
          </cell>
          <cell r="B306">
            <v>46169</v>
          </cell>
          <cell r="C306" t="str">
            <v>已齐</v>
          </cell>
        </row>
        <row r="306">
          <cell r="G306" t="str">
            <v>JTG63853</v>
          </cell>
          <cell r="H306">
            <v>46136</v>
          </cell>
        </row>
        <row r="307">
          <cell r="A307" t="str">
            <v>JJG63862</v>
          </cell>
          <cell r="B307">
            <v>46169</v>
          </cell>
          <cell r="C307" t="str">
            <v>已齐</v>
          </cell>
        </row>
        <row r="307">
          <cell r="G307" t="str">
            <v>JJB65809</v>
          </cell>
          <cell r="H307">
            <v>46156</v>
          </cell>
        </row>
        <row r="308">
          <cell r="A308" t="str">
            <v>JHB63868</v>
          </cell>
          <cell r="B308">
            <v>46169</v>
          </cell>
          <cell r="C308" t="str">
            <v>已齐</v>
          </cell>
        </row>
        <row r="308">
          <cell r="G308" t="str">
            <v>JKB65810</v>
          </cell>
          <cell r="H308">
            <v>46154</v>
          </cell>
        </row>
        <row r="309">
          <cell r="A309" t="str">
            <v>JXG63690</v>
          </cell>
          <cell r="B309">
            <v>46169</v>
          </cell>
          <cell r="C309" t="str">
            <v>已齐</v>
          </cell>
        </row>
        <row r="309">
          <cell r="G309" t="str">
            <v>JGB63046</v>
          </cell>
          <cell r="H309">
            <v>46135</v>
          </cell>
        </row>
        <row r="310">
          <cell r="A310" t="str">
            <v>JLG63693</v>
          </cell>
          <cell r="B310">
            <v>46169</v>
          </cell>
          <cell r="C310" t="str">
            <v>已齐</v>
          </cell>
        </row>
        <row r="310">
          <cell r="G310" t="str">
            <v>JGB63047</v>
          </cell>
          <cell r="H310">
            <v>46132</v>
          </cell>
        </row>
        <row r="311">
          <cell r="A311" t="str">
            <v>JKG63466</v>
          </cell>
          <cell r="B311">
            <v>46169</v>
          </cell>
          <cell r="C311" t="str">
            <v>已齐</v>
          </cell>
        </row>
        <row r="311">
          <cell r="G311" t="str">
            <v>JDG63048</v>
          </cell>
          <cell r="H311">
            <v>46132</v>
          </cell>
        </row>
        <row r="312">
          <cell r="A312" t="str">
            <v>JXG63462</v>
          </cell>
          <cell r="B312">
            <v>46169</v>
          </cell>
          <cell r="C312" t="str">
            <v>已齐</v>
          </cell>
        </row>
        <row r="312">
          <cell r="G312" t="str">
            <v>JKG63049</v>
          </cell>
          <cell r="H312">
            <v>46132</v>
          </cell>
        </row>
        <row r="313">
          <cell r="A313" t="str">
            <v>JJB63064</v>
          </cell>
          <cell r="B313">
            <v>46169</v>
          </cell>
          <cell r="C313" t="str">
            <v>已齐</v>
          </cell>
        </row>
        <row r="313">
          <cell r="G313" t="str">
            <v>JHG63599</v>
          </cell>
          <cell r="H313">
            <v>46140</v>
          </cell>
        </row>
        <row r="314">
          <cell r="A314" t="str">
            <v>JJB63873</v>
          </cell>
          <cell r="B314">
            <v>46169</v>
          </cell>
          <cell r="C314" t="str">
            <v>已齐</v>
          </cell>
        </row>
        <row r="314">
          <cell r="G314" t="str">
            <v>JJG63450</v>
          </cell>
          <cell r="H314">
            <v>46140</v>
          </cell>
        </row>
        <row r="315">
          <cell r="A315" t="str">
            <v>JXG63875</v>
          </cell>
          <cell r="B315">
            <v>46169</v>
          </cell>
          <cell r="C315" t="str">
            <v>已齐</v>
          </cell>
        </row>
        <row r="315">
          <cell r="G315" t="str">
            <v>JJG63451</v>
          </cell>
          <cell r="H315">
            <v>46140</v>
          </cell>
        </row>
        <row r="316">
          <cell r="A316" t="str">
            <v>JKG63890</v>
          </cell>
          <cell r="B316">
            <v>46169</v>
          </cell>
          <cell r="C316" t="str">
            <v>已齐</v>
          </cell>
        </row>
        <row r="316">
          <cell r="G316" t="str">
            <v>JJG63456</v>
          </cell>
          <cell r="H316">
            <v>46142</v>
          </cell>
        </row>
        <row r="317">
          <cell r="A317" t="str">
            <v>JXG63066</v>
          </cell>
          <cell r="B317">
            <v>46169</v>
          </cell>
          <cell r="C317" t="str">
            <v>已齐</v>
          </cell>
        </row>
        <row r="317">
          <cell r="G317" t="str">
            <v>JXG63452</v>
          </cell>
          <cell r="H317">
            <v>46142</v>
          </cell>
        </row>
        <row r="318">
          <cell r="A318" t="str">
            <v>JXG63079</v>
          </cell>
          <cell r="B318">
            <v>46169</v>
          </cell>
          <cell r="C318" t="str">
            <v>已齐</v>
          </cell>
        </row>
        <row r="318">
          <cell r="G318" t="str">
            <v>JXG63453</v>
          </cell>
          <cell r="H318">
            <v>46142</v>
          </cell>
        </row>
        <row r="319">
          <cell r="A319" t="str">
            <v>JJG65001</v>
          </cell>
          <cell r="B319">
            <v>46173</v>
          </cell>
          <cell r="C319" t="str">
            <v>已齐</v>
          </cell>
        </row>
        <row r="319">
          <cell r="G319" t="str">
            <v>JXG63454</v>
          </cell>
          <cell r="H319">
            <v>46142</v>
          </cell>
        </row>
        <row r="320">
          <cell r="A320" t="str">
            <v>JJB65808</v>
          </cell>
          <cell r="B320">
            <v>46173</v>
          </cell>
          <cell r="C320" t="str">
            <v>已齐</v>
          </cell>
        </row>
        <row r="320">
          <cell r="G320" t="str">
            <v>JRG63455</v>
          </cell>
          <cell r="H320">
            <v>46142</v>
          </cell>
        </row>
        <row r="321">
          <cell r="A321" t="str">
            <v>JNG63556</v>
          </cell>
          <cell r="B321">
            <v>46173</v>
          </cell>
          <cell r="C321" t="str">
            <v>已齐</v>
          </cell>
        </row>
        <row r="321">
          <cell r="G321" t="str">
            <v>JDG63457</v>
          </cell>
          <cell r="H321">
            <v>46142</v>
          </cell>
        </row>
        <row r="322">
          <cell r="A322" t="str">
            <v>JJB65808</v>
          </cell>
          <cell r="B322">
            <v>46173</v>
          </cell>
          <cell r="C322" t="str">
            <v>已齐</v>
          </cell>
        </row>
        <row r="322">
          <cell r="G322" t="str">
            <v>JKG63458</v>
          </cell>
          <cell r="H322">
            <v>46142</v>
          </cell>
        </row>
        <row r="323">
          <cell r="A323" t="str">
            <v>JTG63669</v>
          </cell>
          <cell r="B323">
            <v>46173</v>
          </cell>
          <cell r="C323" t="str">
            <v>已齐</v>
          </cell>
          <cell r="D323" t="str">
            <v>无成分唛</v>
          </cell>
        </row>
        <row r="323">
          <cell r="G323" t="str">
            <v>JLG63461</v>
          </cell>
          <cell r="H323">
            <v>46142</v>
          </cell>
        </row>
        <row r="324">
          <cell r="A324" t="str">
            <v>JJN63056</v>
          </cell>
          <cell r="B324">
            <v>46173</v>
          </cell>
          <cell r="C324" t="str">
            <v>已齐</v>
          </cell>
        </row>
        <row r="324">
          <cell r="G324" t="str">
            <v>JTG63459</v>
          </cell>
          <cell r="H324">
            <v>46140</v>
          </cell>
        </row>
        <row r="325">
          <cell r="A325" t="str">
            <v>JLG63680</v>
          </cell>
          <cell r="B325">
            <v>46173</v>
          </cell>
          <cell r="C325" t="str">
            <v>已齐</v>
          </cell>
        </row>
        <row r="325">
          <cell r="G325" t="str">
            <v>JTG63460</v>
          </cell>
          <cell r="H325">
            <v>46142</v>
          </cell>
        </row>
        <row r="326">
          <cell r="A326" t="str">
            <v>JMG63854</v>
          </cell>
          <cell r="B326">
            <v>46173</v>
          </cell>
          <cell r="C326" t="str">
            <v>已齐</v>
          </cell>
        </row>
        <row r="326">
          <cell r="G326" t="str">
            <v>JXG63050</v>
          </cell>
          <cell r="H326">
            <v>46142</v>
          </cell>
        </row>
        <row r="327">
          <cell r="A327" t="str">
            <v>JTB63869</v>
          </cell>
          <cell r="B327">
            <v>46173</v>
          </cell>
          <cell r="C327" t="str">
            <v>已齐</v>
          </cell>
        </row>
        <row r="327">
          <cell r="G327" t="str">
            <v>JJG63051</v>
          </cell>
          <cell r="H327">
            <v>46142</v>
          </cell>
        </row>
        <row r="328">
          <cell r="A328" t="str">
            <v>JKG63879</v>
          </cell>
          <cell r="B328">
            <v>46173</v>
          </cell>
          <cell r="C328" t="str">
            <v>已齐</v>
          </cell>
        </row>
        <row r="328">
          <cell r="G328" t="str">
            <v>JXG63052</v>
          </cell>
          <cell r="H328">
            <v>46140</v>
          </cell>
        </row>
        <row r="329">
          <cell r="A329" t="str">
            <v>JTG63468</v>
          </cell>
          <cell r="B329">
            <v>46173</v>
          </cell>
          <cell r="C329" t="str">
            <v>已齐</v>
          </cell>
        </row>
        <row r="329">
          <cell r="G329" t="str">
            <v>JJG63053</v>
          </cell>
          <cell r="H329">
            <v>46140</v>
          </cell>
        </row>
        <row r="330">
          <cell r="A330" t="str">
            <v>JTG63883</v>
          </cell>
          <cell r="B330">
            <v>46173</v>
          </cell>
          <cell r="C330" t="str">
            <v>已齐</v>
          </cell>
          <cell r="D330" t="str">
            <v>无成分唛</v>
          </cell>
        </row>
        <row r="330">
          <cell r="G330" t="str">
            <v>JJG63054</v>
          </cell>
          <cell r="H330">
            <v>46142</v>
          </cell>
        </row>
        <row r="331">
          <cell r="A331" t="str">
            <v>JTG63884</v>
          </cell>
          <cell r="B331">
            <v>46173</v>
          </cell>
          <cell r="C331" t="str">
            <v>已齐</v>
          </cell>
        </row>
        <row r="331">
          <cell r="G331" t="str">
            <v>JJG63055</v>
          </cell>
          <cell r="H331">
            <v>46142</v>
          </cell>
        </row>
        <row r="332">
          <cell r="A332" t="str">
            <v>JHG63888</v>
          </cell>
          <cell r="B332">
            <v>46173</v>
          </cell>
          <cell r="C332" t="str">
            <v>已齐</v>
          </cell>
          <cell r="D332" t="str">
            <v>无成分唛</v>
          </cell>
        </row>
        <row r="332">
          <cell r="G332" t="str">
            <v>JJN63056</v>
          </cell>
          <cell r="H332">
            <v>46144</v>
          </cell>
        </row>
        <row r="333">
          <cell r="A333" t="str">
            <v>JHG63889</v>
          </cell>
          <cell r="B333">
            <v>46173</v>
          </cell>
          <cell r="C333" t="str">
            <v>已齐</v>
          </cell>
        </row>
        <row r="333">
          <cell r="G333" t="str">
            <v>JHN63057</v>
          </cell>
          <cell r="H333">
            <v>46140</v>
          </cell>
        </row>
        <row r="334">
          <cell r="A334" t="str">
            <v>JLG63697</v>
          </cell>
          <cell r="B334">
            <v>46173</v>
          </cell>
          <cell r="C334" t="str">
            <v>已齐</v>
          </cell>
        </row>
        <row r="334">
          <cell r="G334" t="str">
            <v>JDG63058</v>
          </cell>
          <cell r="H334">
            <v>46140</v>
          </cell>
        </row>
        <row r="335">
          <cell r="A335" t="str">
            <v>JLG63698</v>
          </cell>
          <cell r="B335">
            <v>46173</v>
          </cell>
          <cell r="C335" t="str">
            <v>已齐</v>
          </cell>
        </row>
        <row r="335">
          <cell r="G335" t="str">
            <v>JAN64002</v>
          </cell>
          <cell r="H335">
            <v>46154</v>
          </cell>
        </row>
        <row r="336">
          <cell r="A336" t="str">
            <v>JLB63699</v>
          </cell>
          <cell r="B336">
            <v>46173</v>
          </cell>
          <cell r="C336" t="str">
            <v>已齐</v>
          </cell>
        </row>
        <row r="336">
          <cell r="G336" t="str">
            <v>JKG63059</v>
          </cell>
          <cell r="H336">
            <v>46141</v>
          </cell>
        </row>
        <row r="337">
          <cell r="A337" t="str">
            <v>JXG63354</v>
          </cell>
          <cell r="B337">
            <v>46173</v>
          </cell>
          <cell r="C337" t="str">
            <v>已齐</v>
          </cell>
        </row>
        <row r="337">
          <cell r="G337" t="str">
            <v>JJG63060</v>
          </cell>
          <cell r="H337">
            <v>46141</v>
          </cell>
        </row>
        <row r="338">
          <cell r="A338" t="str">
            <v>JKG63478</v>
          </cell>
          <cell r="B338">
            <v>46173</v>
          </cell>
          <cell r="C338" t="str">
            <v>已齐</v>
          </cell>
        </row>
        <row r="338">
          <cell r="G338" t="str">
            <v>JTG63678</v>
          </cell>
          <cell r="H338">
            <v>46144</v>
          </cell>
        </row>
        <row r="339">
          <cell r="A339" t="str">
            <v>JTG63483</v>
          </cell>
          <cell r="B339">
            <v>46173</v>
          </cell>
          <cell r="C339" t="str">
            <v>已齐</v>
          </cell>
        </row>
        <row r="339">
          <cell r="G339" t="str">
            <v>JLG63679</v>
          </cell>
          <cell r="H339">
            <v>46142</v>
          </cell>
        </row>
        <row r="340">
          <cell r="A340" t="str">
            <v>JTG63481</v>
          </cell>
          <cell r="B340">
            <v>46173</v>
          </cell>
          <cell r="C340" t="str">
            <v>已齐</v>
          </cell>
        </row>
        <row r="340">
          <cell r="G340" t="str">
            <v>JLG63680</v>
          </cell>
          <cell r="H340">
            <v>46144</v>
          </cell>
        </row>
        <row r="341">
          <cell r="A341" t="str">
            <v>JKN63494</v>
          </cell>
          <cell r="B341">
            <v>46173</v>
          </cell>
          <cell r="C341" t="str">
            <v>已齐</v>
          </cell>
        </row>
        <row r="341">
          <cell r="G341" t="str">
            <v>JLG63681</v>
          </cell>
          <cell r="H341">
            <v>46144</v>
          </cell>
        </row>
        <row r="342">
          <cell r="A342" t="str">
            <v>JXG63097</v>
          </cell>
          <cell r="B342">
            <v>46173</v>
          </cell>
          <cell r="C342" t="str">
            <v>已齐</v>
          </cell>
        </row>
        <row r="342">
          <cell r="G342" t="str">
            <v>JKG63682</v>
          </cell>
          <cell r="H342">
            <v>46142</v>
          </cell>
        </row>
        <row r="343">
          <cell r="A343" t="str">
            <v>JKG65803</v>
          </cell>
          <cell r="B343">
            <v>46171</v>
          </cell>
          <cell r="C343" t="str">
            <v>已齐</v>
          </cell>
        </row>
        <row r="343">
          <cell r="G343" t="str">
            <v>JXG63683</v>
          </cell>
          <cell r="H343">
            <v>46142</v>
          </cell>
        </row>
        <row r="344">
          <cell r="A344" t="str">
            <v>JMG65006</v>
          </cell>
          <cell r="B344">
            <v>46171</v>
          </cell>
          <cell r="C344" t="str">
            <v>已齐</v>
          </cell>
          <cell r="D344" t="str">
            <v>无成分唛</v>
          </cell>
        </row>
        <row r="344">
          <cell r="G344" t="str">
            <v>JXG63684</v>
          </cell>
          <cell r="H344">
            <v>46142</v>
          </cell>
        </row>
        <row r="345">
          <cell r="A345" t="str">
            <v>JRN65503</v>
          </cell>
          <cell r="B345">
            <v>46171</v>
          </cell>
          <cell r="C345" t="str">
            <v>已齐</v>
          </cell>
        </row>
        <row r="345">
          <cell r="G345" t="str">
            <v>JXG63685</v>
          </cell>
          <cell r="H345">
            <v>46142</v>
          </cell>
        </row>
        <row r="346">
          <cell r="A346" t="str">
            <v>JRG63455</v>
          </cell>
          <cell r="B346">
            <v>46171</v>
          </cell>
          <cell r="C346" t="str">
            <v>已齐</v>
          </cell>
        </row>
        <row r="346">
          <cell r="G346" t="str">
            <v>JJG63686</v>
          </cell>
          <cell r="H346">
            <v>46144</v>
          </cell>
        </row>
        <row r="347">
          <cell r="A347" t="str">
            <v>JKG63458</v>
          </cell>
          <cell r="B347">
            <v>46171</v>
          </cell>
          <cell r="C347" t="str">
            <v>已齐</v>
          </cell>
        </row>
        <row r="347">
          <cell r="G347" t="str">
            <v>JGG63687</v>
          </cell>
          <cell r="H347">
            <v>46144</v>
          </cell>
        </row>
        <row r="348">
          <cell r="A348" t="str">
            <v>JJG63055</v>
          </cell>
          <cell r="B348">
            <v>46171</v>
          </cell>
          <cell r="C348" t="str">
            <v>已齐</v>
          </cell>
        </row>
        <row r="348">
          <cell r="G348" t="str">
            <v>JKB63688</v>
          </cell>
          <cell r="H348">
            <v>46142</v>
          </cell>
        </row>
        <row r="349">
          <cell r="A349" t="str">
            <v>JTG63678</v>
          </cell>
          <cell r="B349">
            <v>46171</v>
          </cell>
          <cell r="C349" t="str">
            <v>已齐</v>
          </cell>
        </row>
        <row r="349">
          <cell r="G349" t="str">
            <v>JMG63854</v>
          </cell>
          <cell r="H349">
            <v>46144</v>
          </cell>
        </row>
        <row r="350">
          <cell r="A350" t="str">
            <v>JGG63687</v>
          </cell>
          <cell r="B350">
            <v>46171</v>
          </cell>
          <cell r="C350" t="str">
            <v>已齐</v>
          </cell>
        </row>
        <row r="350">
          <cell r="G350" t="str">
            <v>JLG63855</v>
          </cell>
          <cell r="H350">
            <v>46144</v>
          </cell>
        </row>
        <row r="351">
          <cell r="A351" t="str">
            <v>JTG63856</v>
          </cell>
          <cell r="B351">
            <v>46171</v>
          </cell>
          <cell r="C351" t="str">
            <v>已齐</v>
          </cell>
        </row>
        <row r="351">
          <cell r="G351" t="str">
            <v>JTG63856</v>
          </cell>
          <cell r="H351">
            <v>46142</v>
          </cell>
        </row>
        <row r="352">
          <cell r="A352" t="str">
            <v>JTG63858</v>
          </cell>
          <cell r="B352">
            <v>46171</v>
          </cell>
          <cell r="C352" t="str">
            <v>已齐</v>
          </cell>
        </row>
        <row r="352">
          <cell r="G352" t="str">
            <v>JJG63857</v>
          </cell>
          <cell r="H352">
            <v>46142</v>
          </cell>
        </row>
        <row r="353">
          <cell r="A353" t="str">
            <v>JJG63863</v>
          </cell>
          <cell r="B353">
            <v>46171</v>
          </cell>
          <cell r="C353" t="str">
            <v>已齐</v>
          </cell>
        </row>
        <row r="353">
          <cell r="G353" t="str">
            <v>JTG63858</v>
          </cell>
          <cell r="H353">
            <v>46142</v>
          </cell>
        </row>
        <row r="354">
          <cell r="A354" t="str">
            <v>JTB63867</v>
          </cell>
          <cell r="B354">
            <v>46171</v>
          </cell>
          <cell r="C354" t="str">
            <v>已齐</v>
          </cell>
        </row>
        <row r="354">
          <cell r="G354" t="str">
            <v>JXG63859</v>
          </cell>
          <cell r="H354">
            <v>46142</v>
          </cell>
        </row>
        <row r="355">
          <cell r="A355" t="str">
            <v>JTG63870</v>
          </cell>
          <cell r="B355">
            <v>46171</v>
          </cell>
          <cell r="C355" t="str">
            <v>已齐</v>
          </cell>
        </row>
        <row r="355">
          <cell r="G355" t="str">
            <v>JTG63860</v>
          </cell>
          <cell r="H355">
            <v>46142</v>
          </cell>
        </row>
        <row r="356">
          <cell r="A356" t="str">
            <v>JJG63871</v>
          </cell>
          <cell r="B356">
            <v>46171</v>
          </cell>
          <cell r="C356" t="str">
            <v>已齐</v>
          </cell>
        </row>
        <row r="356">
          <cell r="G356" t="str">
            <v>JJG63861</v>
          </cell>
          <cell r="H356">
            <v>46142</v>
          </cell>
        </row>
        <row r="357">
          <cell r="A357" t="str">
            <v>JTG63692</v>
          </cell>
          <cell r="B357">
            <v>46171</v>
          </cell>
          <cell r="C357" t="str">
            <v>已齐</v>
          </cell>
        </row>
        <row r="357">
          <cell r="G357" t="str">
            <v>JJG63862</v>
          </cell>
          <cell r="H357">
            <v>46142</v>
          </cell>
        </row>
        <row r="358">
          <cell r="A358" t="str">
            <v>JTG63463</v>
          </cell>
          <cell r="B358">
            <v>46171</v>
          </cell>
          <cell r="C358" t="str">
            <v>已齐</v>
          </cell>
        </row>
        <row r="358">
          <cell r="G358" t="str">
            <v>JJG63863</v>
          </cell>
          <cell r="H358">
            <v>46144</v>
          </cell>
        </row>
        <row r="359">
          <cell r="A359" t="str">
            <v>JJG63062</v>
          </cell>
          <cell r="B359">
            <v>46171</v>
          </cell>
          <cell r="C359" t="str">
            <v>已齐</v>
          </cell>
        </row>
        <row r="359">
          <cell r="G359" t="str">
            <v>JXB63864</v>
          </cell>
          <cell r="H359">
            <v>46142</v>
          </cell>
        </row>
        <row r="360">
          <cell r="A360" t="str">
            <v>JJG63063</v>
          </cell>
          <cell r="B360">
            <v>46171</v>
          </cell>
          <cell r="C360" t="str">
            <v>已齐</v>
          </cell>
        </row>
        <row r="360">
          <cell r="G360" t="str">
            <v>JMB63865</v>
          </cell>
          <cell r="H360">
            <v>46144</v>
          </cell>
        </row>
        <row r="361">
          <cell r="A361" t="str">
            <v>JKG63065</v>
          </cell>
          <cell r="B361">
            <v>46171</v>
          </cell>
          <cell r="C361" t="str">
            <v>已齐</v>
          </cell>
        </row>
        <row r="361">
          <cell r="G361" t="str">
            <v>JMB65811</v>
          </cell>
          <cell r="H361">
            <v>46157</v>
          </cell>
        </row>
        <row r="362">
          <cell r="A362" t="str">
            <v>JJG63876</v>
          </cell>
          <cell r="B362">
            <v>46171</v>
          </cell>
          <cell r="C362" t="str">
            <v>已齐</v>
          </cell>
        </row>
        <row r="362">
          <cell r="G362" t="str">
            <v>JTB63867</v>
          </cell>
          <cell r="H362">
            <v>46142</v>
          </cell>
        </row>
        <row r="363">
          <cell r="A363" t="str">
            <v>JTG63469</v>
          </cell>
          <cell r="B363">
            <v>46171</v>
          </cell>
          <cell r="C363" t="str">
            <v>已齐</v>
          </cell>
        </row>
        <row r="363">
          <cell r="G363" t="str">
            <v>JHB63868</v>
          </cell>
          <cell r="H363">
            <v>46142</v>
          </cell>
        </row>
        <row r="364">
          <cell r="A364" t="str">
            <v>JJG63885</v>
          </cell>
          <cell r="B364">
            <v>46171</v>
          </cell>
          <cell r="C364" t="str">
            <v>已齐</v>
          </cell>
        </row>
        <row r="364">
          <cell r="G364" t="str">
            <v>JTB63869</v>
          </cell>
          <cell r="H364">
            <v>46142</v>
          </cell>
        </row>
        <row r="365">
          <cell r="A365" t="str">
            <v>JXG63886</v>
          </cell>
          <cell r="B365">
            <v>46171</v>
          </cell>
          <cell r="C365" t="str">
            <v>已齐</v>
          </cell>
        </row>
        <row r="365">
          <cell r="G365" t="str">
            <v>JTG63870</v>
          </cell>
          <cell r="H365">
            <v>46142</v>
          </cell>
        </row>
        <row r="366">
          <cell r="A366" t="str">
            <v>JKG63887</v>
          </cell>
          <cell r="B366">
            <v>46171</v>
          </cell>
          <cell r="C366" t="str">
            <v>已齐</v>
          </cell>
          <cell r="D366" t="str">
            <v>无成分唛</v>
          </cell>
        </row>
        <row r="366">
          <cell r="G366" t="str">
            <v>JJG63871</v>
          </cell>
          <cell r="H366">
            <v>46142</v>
          </cell>
        </row>
        <row r="367">
          <cell r="A367" t="str">
            <v>JKG63350</v>
          </cell>
          <cell r="B367">
            <v>46171</v>
          </cell>
          <cell r="C367" t="str">
            <v>已齐</v>
          </cell>
        </row>
        <row r="367">
          <cell r="G367" t="str">
            <v>JXG63690</v>
          </cell>
          <cell r="H367">
            <v>46142</v>
          </cell>
        </row>
        <row r="368">
          <cell r="A368" t="str">
            <v>JXN63081</v>
          </cell>
          <cell r="B368">
            <v>46171</v>
          </cell>
          <cell r="C368" t="str">
            <v>已齐</v>
          </cell>
        </row>
        <row r="368">
          <cell r="G368" t="str">
            <v>JXB63691</v>
          </cell>
          <cell r="H368">
            <v>46142</v>
          </cell>
        </row>
        <row r="369">
          <cell r="A369" t="str">
            <v>JXG63473</v>
          </cell>
          <cell r="B369">
            <v>46171</v>
          </cell>
          <cell r="C369" t="str">
            <v>已齐</v>
          </cell>
        </row>
        <row r="369">
          <cell r="G369" t="str">
            <v>JTG63692</v>
          </cell>
          <cell r="H369">
            <v>46142</v>
          </cell>
        </row>
        <row r="370">
          <cell r="A370" t="str">
            <v>JKG65008</v>
          </cell>
          <cell r="B370">
            <v>46165</v>
          </cell>
          <cell r="C370" t="str">
            <v>已齐</v>
          </cell>
        </row>
        <row r="370">
          <cell r="G370" t="str">
            <v>JLG63693</v>
          </cell>
          <cell r="H370">
            <v>46144</v>
          </cell>
        </row>
        <row r="371">
          <cell r="A371" t="str">
            <v>JDG63069</v>
          </cell>
          <cell r="B371">
            <v>46165</v>
          </cell>
          <cell r="C371" t="str">
            <v>已齐</v>
          </cell>
        </row>
        <row r="371">
          <cell r="G371" t="str">
            <v>JJG63694</v>
          </cell>
          <cell r="H371">
            <v>46142</v>
          </cell>
        </row>
        <row r="372">
          <cell r="A372" t="str">
            <v>JMG65802</v>
          </cell>
          <cell r="B372">
            <v>46176</v>
          </cell>
          <cell r="C372" t="str">
            <v>已齐</v>
          </cell>
          <cell r="D372" t="str">
            <v>无成分唛</v>
          </cell>
        </row>
        <row r="372">
          <cell r="G372" t="str">
            <v>JKG63466</v>
          </cell>
          <cell r="H372">
            <v>46142</v>
          </cell>
        </row>
        <row r="373">
          <cell r="A373" t="str">
            <v>JAG64817</v>
          </cell>
          <cell r="B373">
            <v>46176</v>
          </cell>
          <cell r="C373" t="str">
            <v>已齐</v>
          </cell>
        </row>
        <row r="373">
          <cell r="G373" t="str">
            <v>JTB63465</v>
          </cell>
          <cell r="H373">
            <v>46142</v>
          </cell>
        </row>
        <row r="374">
          <cell r="A374" t="str">
            <v>JTG65807</v>
          </cell>
          <cell r="B374">
            <v>46176</v>
          </cell>
          <cell r="C374" t="str">
            <v>已齐</v>
          </cell>
          <cell r="D374" t="str">
            <v>无成分唛</v>
          </cell>
        </row>
        <row r="374">
          <cell r="G374" t="str">
            <v>JRG63464</v>
          </cell>
          <cell r="H374">
            <v>46142</v>
          </cell>
        </row>
        <row r="375">
          <cell r="A375" t="str">
            <v>JJG63686</v>
          </cell>
          <cell r="B375">
            <v>46176</v>
          </cell>
          <cell r="C375" t="str">
            <v>已齐</v>
          </cell>
          <cell r="D375" t="str">
            <v>120码无成分唛</v>
          </cell>
        </row>
        <row r="375">
          <cell r="G375" t="str">
            <v>JTG63463</v>
          </cell>
          <cell r="H375">
            <v>46142</v>
          </cell>
        </row>
        <row r="376">
          <cell r="A376" t="str">
            <v>JJG63861</v>
          </cell>
          <cell r="B376">
            <v>46176</v>
          </cell>
          <cell r="C376" t="str">
            <v>已齐</v>
          </cell>
        </row>
        <row r="376">
          <cell r="G376" t="str">
            <v>JXG63462</v>
          </cell>
          <cell r="H376">
            <v>46142</v>
          </cell>
        </row>
        <row r="377">
          <cell r="A377" t="str">
            <v>JMB63865</v>
          </cell>
          <cell r="B377">
            <v>46176</v>
          </cell>
          <cell r="C377" t="str">
            <v>已齐</v>
          </cell>
          <cell r="D377" t="str">
            <v>无成分唛</v>
          </cell>
        </row>
        <row r="377">
          <cell r="G377" t="str">
            <v>JTG63061</v>
          </cell>
          <cell r="H377">
            <v>46142</v>
          </cell>
        </row>
        <row r="378">
          <cell r="A378" t="str">
            <v>JNG60250</v>
          </cell>
          <cell r="B378">
            <v>46176</v>
          </cell>
          <cell r="C378" t="str">
            <v>已齐</v>
          </cell>
        </row>
        <row r="378">
          <cell r="G378" t="str">
            <v>JJG63062</v>
          </cell>
          <cell r="H378">
            <v>46142</v>
          </cell>
        </row>
        <row r="379">
          <cell r="A379" t="str">
            <v>JNG60251</v>
          </cell>
          <cell r="B379">
            <v>46176</v>
          </cell>
          <cell r="C379" t="str">
            <v>已齐</v>
          </cell>
        </row>
        <row r="379">
          <cell r="G379" t="str">
            <v>JJG63063</v>
          </cell>
          <cell r="H379">
            <v>46142</v>
          </cell>
        </row>
        <row r="380">
          <cell r="A380" t="str">
            <v>JDG63878</v>
          </cell>
          <cell r="B380">
            <v>46176</v>
          </cell>
          <cell r="C380" t="str">
            <v>已齐</v>
          </cell>
        </row>
        <row r="380">
          <cell r="G380" t="str">
            <v>JJB63064</v>
          </cell>
          <cell r="H380">
            <v>46142</v>
          </cell>
        </row>
        <row r="381">
          <cell r="A381" t="str">
            <v>JMG63523</v>
          </cell>
          <cell r="B381">
            <v>46176</v>
          </cell>
          <cell r="C381" t="str">
            <v>已齐</v>
          </cell>
          <cell r="D381" t="str">
            <v>无成分唛</v>
          </cell>
        </row>
        <row r="381">
          <cell r="G381" t="str">
            <v>JKG63065</v>
          </cell>
          <cell r="H381">
            <v>46142</v>
          </cell>
        </row>
        <row r="382">
          <cell r="A382" t="str">
            <v>JTG63597</v>
          </cell>
          <cell r="B382">
            <v>46176</v>
          </cell>
          <cell r="C382" t="str">
            <v>已齐</v>
          </cell>
          <cell r="D382" t="str">
            <v>毛织背心无成分唛</v>
          </cell>
        </row>
        <row r="382">
          <cell r="G382" t="str">
            <v>JXG63872</v>
          </cell>
          <cell r="H382">
            <v>46142</v>
          </cell>
        </row>
        <row r="383">
          <cell r="A383" t="str">
            <v>JXG63470</v>
          </cell>
          <cell r="B383">
            <v>46176</v>
          </cell>
          <cell r="C383" t="str">
            <v>已齐</v>
          </cell>
        </row>
        <row r="383">
          <cell r="G383" t="str">
            <v>JJB63873</v>
          </cell>
          <cell r="H383">
            <v>46142</v>
          </cell>
        </row>
        <row r="384">
          <cell r="A384" t="str">
            <v>JJG63894</v>
          </cell>
          <cell r="B384">
            <v>46176</v>
          </cell>
          <cell r="C384" t="str">
            <v>已齐</v>
          </cell>
          <cell r="D384" t="str">
            <v>无成分唛</v>
          </cell>
        </row>
        <row r="384">
          <cell r="G384" t="str">
            <v>JJG63874</v>
          </cell>
          <cell r="H384">
            <v>46142</v>
          </cell>
        </row>
        <row r="385">
          <cell r="A385" t="str">
            <v>JLG63695</v>
          </cell>
          <cell r="B385">
            <v>46176</v>
          </cell>
          <cell r="C385" t="str">
            <v>已齐</v>
          </cell>
        </row>
        <row r="385">
          <cell r="G385" t="str">
            <v>JXG63875</v>
          </cell>
          <cell r="H385">
            <v>46142</v>
          </cell>
        </row>
        <row r="386">
          <cell r="A386" t="str">
            <v>JXG63353</v>
          </cell>
          <cell r="B386">
            <v>46176</v>
          </cell>
          <cell r="C386" t="str">
            <v>已齐</v>
          </cell>
          <cell r="D386" t="str">
            <v>无成分唛</v>
          </cell>
        </row>
        <row r="386">
          <cell r="G386" t="str">
            <v>JJG63876</v>
          </cell>
          <cell r="H386">
            <v>46142</v>
          </cell>
        </row>
        <row r="387">
          <cell r="A387" t="str">
            <v>JJB63358</v>
          </cell>
          <cell r="B387">
            <v>46176</v>
          </cell>
          <cell r="C387" t="str">
            <v>已齐</v>
          </cell>
        </row>
        <row r="387">
          <cell r="G387" t="str">
            <v>JJG63877</v>
          </cell>
          <cell r="H387">
            <v>46149</v>
          </cell>
        </row>
        <row r="388">
          <cell r="A388" t="str">
            <v>JRG63067</v>
          </cell>
          <cell r="B388">
            <v>46176</v>
          </cell>
          <cell r="C388" t="str">
            <v>已齐</v>
          </cell>
        </row>
        <row r="388">
          <cell r="G388" t="str">
            <v>JDG63878</v>
          </cell>
          <cell r="H388">
            <v>46147</v>
          </cell>
        </row>
        <row r="389">
          <cell r="A389" t="str">
            <v>JLG63068</v>
          </cell>
          <cell r="B389">
            <v>46176</v>
          </cell>
          <cell r="C389" t="str">
            <v>已齐</v>
          </cell>
        </row>
        <row r="389">
          <cell r="G389" t="str">
            <v>JKG63879</v>
          </cell>
          <cell r="H389">
            <v>46147</v>
          </cell>
        </row>
        <row r="390">
          <cell r="A390" t="str">
            <v>JXG63077</v>
          </cell>
          <cell r="B390">
            <v>46176</v>
          </cell>
          <cell r="C390" t="str">
            <v>已齐</v>
          </cell>
        </row>
        <row r="390">
          <cell r="G390" t="str">
            <v>JJG63880</v>
          </cell>
          <cell r="H390">
            <v>46149</v>
          </cell>
        </row>
        <row r="391">
          <cell r="A391" t="str">
            <v>JKG63477</v>
          </cell>
          <cell r="B391">
            <v>46176</v>
          </cell>
          <cell r="C391" t="str">
            <v>已齐</v>
          </cell>
        </row>
        <row r="391">
          <cell r="G391" t="str">
            <v>JAB64830</v>
          </cell>
          <cell r="H391">
            <v>46173</v>
          </cell>
        </row>
        <row r="392">
          <cell r="A392" t="str">
            <v>JTG63482</v>
          </cell>
          <cell r="B392">
            <v>46176</v>
          </cell>
          <cell r="C392" t="str">
            <v>已齐</v>
          </cell>
        </row>
        <row r="392">
          <cell r="G392" t="str">
            <v>JMG63523</v>
          </cell>
          <cell r="H392">
            <v>46148</v>
          </cell>
        </row>
        <row r="393">
          <cell r="A393" t="str">
            <v>JKN63484</v>
          </cell>
          <cell r="B393">
            <v>46176</v>
          </cell>
          <cell r="C393" t="str">
            <v>已齐</v>
          </cell>
        </row>
        <row r="393">
          <cell r="G393" t="str">
            <v>JNG65508</v>
          </cell>
          <cell r="H393">
            <v>46152</v>
          </cell>
        </row>
        <row r="394">
          <cell r="A394" t="str">
            <v>JJG63877</v>
          </cell>
          <cell r="B394">
            <v>46178</v>
          </cell>
          <cell r="C394" t="str">
            <v>已齐</v>
          </cell>
        </row>
        <row r="394">
          <cell r="G394" t="str">
            <v>JTG63597</v>
          </cell>
          <cell r="H394">
            <v>46149</v>
          </cell>
        </row>
        <row r="395">
          <cell r="A395" t="str">
            <v>JZG63472</v>
          </cell>
          <cell r="B395">
            <v>46178</v>
          </cell>
          <cell r="C395" t="str">
            <v>已齐</v>
          </cell>
        </row>
        <row r="395">
          <cell r="G395" t="str">
            <v>JTG63598</v>
          </cell>
          <cell r="H395">
            <v>46150</v>
          </cell>
        </row>
        <row r="396">
          <cell r="A396" t="str">
            <v>JZG63471</v>
          </cell>
          <cell r="B396">
            <v>46178</v>
          </cell>
          <cell r="C396" t="str">
            <v>已齐</v>
          </cell>
        </row>
        <row r="396">
          <cell r="G396" t="str">
            <v>JTG63468</v>
          </cell>
          <cell r="H396">
            <v>46142</v>
          </cell>
        </row>
        <row r="397">
          <cell r="A397" t="str">
            <v>JTG63891</v>
          </cell>
          <cell r="B397">
            <v>46178</v>
          </cell>
          <cell r="C397" t="str">
            <v>已齐</v>
          </cell>
        </row>
        <row r="397">
          <cell r="G397" t="str">
            <v>JTG63469</v>
          </cell>
          <cell r="H397">
            <v>46142</v>
          </cell>
        </row>
        <row r="398">
          <cell r="A398" t="str">
            <v>JCG63892</v>
          </cell>
          <cell r="B398">
            <v>46178</v>
          </cell>
          <cell r="C398" t="str">
            <v>已齐</v>
          </cell>
        </row>
        <row r="398">
          <cell r="G398" t="str">
            <v>JZG63472</v>
          </cell>
          <cell r="H398">
            <v>46149</v>
          </cell>
        </row>
        <row r="399">
          <cell r="A399" t="str">
            <v>JLG63696</v>
          </cell>
          <cell r="B399">
            <v>46178</v>
          </cell>
          <cell r="C399" t="str">
            <v>已齐</v>
          </cell>
        </row>
        <row r="399">
          <cell r="G399" t="str">
            <v>JZG63471</v>
          </cell>
          <cell r="H399">
            <v>46149</v>
          </cell>
        </row>
        <row r="400">
          <cell r="A400" t="str">
            <v>JKB63352</v>
          </cell>
          <cell r="B400">
            <v>46178</v>
          </cell>
          <cell r="C400" t="str">
            <v>已齐</v>
          </cell>
        </row>
        <row r="400">
          <cell r="G400" t="str">
            <v>JXG63470</v>
          </cell>
          <cell r="H400">
            <v>46146</v>
          </cell>
        </row>
        <row r="401">
          <cell r="A401" t="str">
            <v>JRG63355</v>
          </cell>
          <cell r="B401">
            <v>46178</v>
          </cell>
          <cell r="C401" t="str">
            <v>已齐</v>
          </cell>
        </row>
        <row r="401">
          <cell r="G401" t="str">
            <v>JJN63881</v>
          </cell>
          <cell r="H401">
            <v>46145</v>
          </cell>
        </row>
        <row r="402">
          <cell r="A402" t="str">
            <v>JJB63070</v>
          </cell>
          <cell r="B402">
            <v>46178</v>
          </cell>
          <cell r="C402" t="str">
            <v>已齐</v>
          </cell>
        </row>
        <row r="402">
          <cell r="G402" t="str">
            <v>JJN63882A</v>
          </cell>
          <cell r="H402">
            <v>46145</v>
          </cell>
        </row>
        <row r="403">
          <cell r="A403" t="str">
            <v>JGG63075</v>
          </cell>
          <cell r="B403">
            <v>46178</v>
          </cell>
          <cell r="C403" t="str">
            <v>已齐</v>
          </cell>
        </row>
        <row r="403">
          <cell r="G403" t="str">
            <v>JTG63883</v>
          </cell>
          <cell r="H403">
            <v>46145</v>
          </cell>
        </row>
        <row r="404">
          <cell r="A404" t="str">
            <v>JGB63076</v>
          </cell>
          <cell r="B404">
            <v>46178</v>
          </cell>
          <cell r="C404" t="str">
            <v>已齐</v>
          </cell>
        </row>
        <row r="404">
          <cell r="G404" t="str">
            <v>JTG63884</v>
          </cell>
          <cell r="H404">
            <v>46145</v>
          </cell>
        </row>
        <row r="405">
          <cell r="A405" t="str">
            <v>JRG63078</v>
          </cell>
          <cell r="B405">
            <v>46178</v>
          </cell>
          <cell r="C405" t="str">
            <v>已齐</v>
          </cell>
        </row>
        <row r="405">
          <cell r="G405" t="str">
            <v>JJG63885</v>
          </cell>
          <cell r="H405">
            <v>46144</v>
          </cell>
        </row>
        <row r="406">
          <cell r="A406" t="str">
            <v>JKG63080</v>
          </cell>
          <cell r="B406">
            <v>46178</v>
          </cell>
          <cell r="C406" t="str">
            <v>已齐</v>
          </cell>
        </row>
        <row r="406">
          <cell r="G406" t="str">
            <v>JXG63886</v>
          </cell>
          <cell r="H406">
            <v>46144</v>
          </cell>
        </row>
        <row r="407">
          <cell r="A407" t="str">
            <v>JRG63475</v>
          </cell>
          <cell r="B407">
            <v>46178</v>
          </cell>
          <cell r="C407" t="str">
            <v>已齐</v>
          </cell>
        </row>
        <row r="407">
          <cell r="G407" t="str">
            <v>JKG63887</v>
          </cell>
          <cell r="H407">
            <v>46148</v>
          </cell>
        </row>
        <row r="408">
          <cell r="A408" t="str">
            <v>JRG63476</v>
          </cell>
          <cell r="B408">
            <v>46178</v>
          </cell>
          <cell r="C408" t="str">
            <v>已齐</v>
          </cell>
        </row>
        <row r="408">
          <cell r="G408" t="str">
            <v>JHG63888</v>
          </cell>
          <cell r="H408">
            <v>46145</v>
          </cell>
        </row>
        <row r="409">
          <cell r="A409" t="str">
            <v>JTB63480</v>
          </cell>
          <cell r="B409">
            <v>46178</v>
          </cell>
          <cell r="C409" t="str">
            <v>已齐</v>
          </cell>
        </row>
        <row r="409">
          <cell r="G409" t="str">
            <v>JHG63889</v>
          </cell>
          <cell r="H409">
            <v>46145</v>
          </cell>
        </row>
        <row r="410">
          <cell r="A410" t="str">
            <v>JXG63485</v>
          </cell>
          <cell r="B410">
            <v>46178</v>
          </cell>
          <cell r="C410" t="str">
            <v>已齐</v>
          </cell>
        </row>
        <row r="410">
          <cell r="G410" t="str">
            <v>JKG63890</v>
          </cell>
          <cell r="H410">
            <v>46145</v>
          </cell>
        </row>
        <row r="411">
          <cell r="A411" t="str">
            <v>JDG63492</v>
          </cell>
          <cell r="B411">
            <v>46178</v>
          </cell>
          <cell r="C411" t="str">
            <v>已齐</v>
          </cell>
        </row>
        <row r="411">
          <cell r="G411" t="str">
            <v>JTG63891</v>
          </cell>
          <cell r="H411">
            <v>46148</v>
          </cell>
        </row>
        <row r="412">
          <cell r="A412" t="str">
            <v>JJG65601</v>
          </cell>
          <cell r="B412">
            <v>46181</v>
          </cell>
          <cell r="C412" t="str">
            <v>已齐</v>
          </cell>
        </row>
        <row r="412">
          <cell r="G412" t="str">
            <v>JCG63892</v>
          </cell>
          <cell r="H412">
            <v>46149</v>
          </cell>
        </row>
        <row r="413">
          <cell r="A413" t="str">
            <v>JAB64001</v>
          </cell>
          <cell r="B413">
            <v>46181</v>
          </cell>
          <cell r="C413" t="str">
            <v>已齐</v>
          </cell>
        </row>
        <row r="413">
          <cell r="G413" t="str">
            <v>JJG63893</v>
          </cell>
          <cell r="H413">
            <v>46148</v>
          </cell>
        </row>
        <row r="414">
          <cell r="A414" t="str">
            <v>JKN65504</v>
          </cell>
          <cell r="B414">
            <v>46181</v>
          </cell>
          <cell r="C414" t="str">
            <v>已齐</v>
          </cell>
        </row>
        <row r="414">
          <cell r="G414" t="str">
            <v>JJG63894</v>
          </cell>
          <cell r="H414">
            <v>46145</v>
          </cell>
        </row>
        <row r="415">
          <cell r="A415" t="str">
            <v>JKB65810</v>
          </cell>
          <cell r="B415">
            <v>46181</v>
          </cell>
          <cell r="C415" t="str">
            <v>已齐</v>
          </cell>
        </row>
        <row r="415">
          <cell r="G415" t="str">
            <v>JAG64831</v>
          </cell>
          <cell r="H415">
            <v>46172</v>
          </cell>
        </row>
        <row r="416">
          <cell r="A416" t="str">
            <v>JJG63880</v>
          </cell>
          <cell r="B416">
            <v>46181</v>
          </cell>
          <cell r="C416" t="str">
            <v>已齐</v>
          </cell>
          <cell r="D416" t="str">
            <v>无成分唛</v>
          </cell>
        </row>
        <row r="416">
          <cell r="G416" t="str">
            <v>JLG63695</v>
          </cell>
          <cell r="H416">
            <v>46148</v>
          </cell>
        </row>
        <row r="417">
          <cell r="A417" t="str">
            <v>JJN63881</v>
          </cell>
          <cell r="B417">
            <v>46181</v>
          </cell>
          <cell r="C417" t="str">
            <v>已齐</v>
          </cell>
          <cell r="D417" t="str">
            <v>无成分唛</v>
          </cell>
        </row>
        <row r="417">
          <cell r="G417" t="str">
            <v>JLG63696</v>
          </cell>
          <cell r="H417">
            <v>46148</v>
          </cell>
        </row>
        <row r="418">
          <cell r="A418" t="str">
            <v>JJN63882A</v>
          </cell>
          <cell r="B418">
            <v>46181</v>
          </cell>
          <cell r="C418" t="str">
            <v>已齐</v>
          </cell>
          <cell r="D418" t="str">
            <v>无成分唛</v>
          </cell>
        </row>
        <row r="418">
          <cell r="G418" t="str">
            <v>JLG63697</v>
          </cell>
          <cell r="H418">
            <v>46145</v>
          </cell>
        </row>
        <row r="419">
          <cell r="A419" t="str">
            <v>JJG63893</v>
          </cell>
          <cell r="B419">
            <v>46181</v>
          </cell>
          <cell r="C419" t="str">
            <v>已齐</v>
          </cell>
          <cell r="D419" t="str">
            <v>无成分唛</v>
          </cell>
        </row>
        <row r="419">
          <cell r="G419" t="str">
            <v>JLG63698</v>
          </cell>
          <cell r="H419">
            <v>46145</v>
          </cell>
        </row>
        <row r="420">
          <cell r="A420" t="str">
            <v>JQG63074</v>
          </cell>
          <cell r="B420">
            <v>46181</v>
          </cell>
          <cell r="C420" t="str">
            <v>已齐</v>
          </cell>
          <cell r="D420" t="str">
            <v>无成分唛</v>
          </cell>
        </row>
        <row r="420">
          <cell r="G420" t="str">
            <v>JLB63699</v>
          </cell>
          <cell r="H420">
            <v>46148</v>
          </cell>
        </row>
        <row r="421">
          <cell r="A421" t="str">
            <v>JTG63486</v>
          </cell>
          <cell r="B421">
            <v>46181</v>
          </cell>
          <cell r="C421" t="str">
            <v>已齐</v>
          </cell>
        </row>
        <row r="421">
          <cell r="G421" t="str">
            <v>JKG63350</v>
          </cell>
          <cell r="H421">
            <v>46147</v>
          </cell>
        </row>
        <row r="422">
          <cell r="A422" t="str">
            <v>JHN63491</v>
          </cell>
          <cell r="B422">
            <v>46181</v>
          </cell>
          <cell r="C422" t="str">
            <v>已齐</v>
          </cell>
        </row>
        <row r="422">
          <cell r="G422" t="str">
            <v>JKG63351</v>
          </cell>
          <cell r="H422">
            <v>46145</v>
          </cell>
        </row>
        <row r="423">
          <cell r="A423" t="str">
            <v>JXG63499</v>
          </cell>
          <cell r="B423">
            <v>46181</v>
          </cell>
          <cell r="C423" t="str">
            <v>已齐</v>
          </cell>
        </row>
        <row r="423">
          <cell r="G423" t="str">
            <v>JKB63352</v>
          </cell>
          <cell r="H423">
            <v>46147</v>
          </cell>
        </row>
        <row r="424">
          <cell r="A424" t="str">
            <v>JTG63403</v>
          </cell>
          <cell r="B424">
            <v>46181</v>
          </cell>
          <cell r="C424" t="str">
            <v>已齐</v>
          </cell>
        </row>
        <row r="424">
          <cell r="G424" t="str">
            <v>JXG63353</v>
          </cell>
          <cell r="H424">
            <v>46148</v>
          </cell>
        </row>
        <row r="425">
          <cell r="A425" t="str">
            <v>JXG63361</v>
          </cell>
          <cell r="B425">
            <v>46181</v>
          </cell>
          <cell r="C425" t="str">
            <v>已齐</v>
          </cell>
        </row>
        <row r="425">
          <cell r="G425" t="str">
            <v>JXG63354</v>
          </cell>
          <cell r="H425">
            <v>46144</v>
          </cell>
        </row>
        <row r="426">
          <cell r="A426" t="str">
            <v>JLG63379</v>
          </cell>
          <cell r="B426">
            <v>46181</v>
          </cell>
          <cell r="C426" t="str">
            <v>已齐</v>
          </cell>
        </row>
        <row r="426">
          <cell r="G426" t="str">
            <v>JRG63355</v>
          </cell>
          <cell r="H426">
            <v>46146</v>
          </cell>
        </row>
        <row r="427">
          <cell r="A427" t="str">
            <v>JDG63383</v>
          </cell>
          <cell r="B427">
            <v>46181</v>
          </cell>
          <cell r="C427" t="str">
            <v>已齐</v>
          </cell>
        </row>
        <row r="427">
          <cell r="G427" t="str">
            <v>JTB63356</v>
          </cell>
          <cell r="H427">
            <v>46150</v>
          </cell>
        </row>
        <row r="428">
          <cell r="A428" t="str">
            <v>JAN64002</v>
          </cell>
          <cell r="B428">
            <v>46183</v>
          </cell>
          <cell r="C428" t="str">
            <v>已齐</v>
          </cell>
        </row>
        <row r="428">
          <cell r="G428" t="str">
            <v>JJB63358</v>
          </cell>
          <cell r="H428">
            <v>46148</v>
          </cell>
        </row>
        <row r="429">
          <cell r="A429" t="str">
            <v>JMB65811</v>
          </cell>
          <cell r="B429">
            <v>46183</v>
          </cell>
          <cell r="C429" t="str">
            <v>已齐</v>
          </cell>
          <cell r="D429" t="str">
            <v>无成分唛</v>
          </cell>
        </row>
        <row r="429">
          <cell r="G429" t="str">
            <v>JXG63066</v>
          </cell>
          <cell r="H429">
            <v>46146</v>
          </cell>
        </row>
        <row r="430">
          <cell r="A430" t="str">
            <v>JTG63598</v>
          </cell>
          <cell r="B430">
            <v>46183</v>
          </cell>
          <cell r="C430" t="str">
            <v>已齐</v>
          </cell>
          <cell r="D430" t="str">
            <v>背心无成分唛</v>
          </cell>
        </row>
        <row r="430">
          <cell r="G430" t="str">
            <v>JRG63067</v>
          </cell>
          <cell r="H430">
            <v>46148</v>
          </cell>
        </row>
        <row r="431">
          <cell r="A431" t="str">
            <v>JTB63356</v>
          </cell>
          <cell r="B431">
            <v>46183</v>
          </cell>
          <cell r="C431" t="str">
            <v>已齐</v>
          </cell>
        </row>
        <row r="431">
          <cell r="G431" t="str">
            <v>JLG63068</v>
          </cell>
          <cell r="H431">
            <v>46148</v>
          </cell>
        </row>
        <row r="432">
          <cell r="A432" t="str">
            <v>JTB63357</v>
          </cell>
          <cell r="B432">
            <v>46183</v>
          </cell>
          <cell r="C432" t="str">
            <v>已齐</v>
          </cell>
        </row>
        <row r="432">
          <cell r="G432" t="str">
            <v>JDG63069</v>
          </cell>
          <cell r="H432">
            <v>46147</v>
          </cell>
        </row>
        <row r="433">
          <cell r="A433" t="str">
            <v>JJB63071</v>
          </cell>
          <cell r="B433">
            <v>46183</v>
          </cell>
          <cell r="C433" t="str">
            <v>已齐</v>
          </cell>
        </row>
        <row r="433">
          <cell r="G433" t="str">
            <v>JJB63070</v>
          </cell>
          <cell r="H433">
            <v>46149</v>
          </cell>
        </row>
        <row r="434">
          <cell r="A434" t="str">
            <v>JQG63073</v>
          </cell>
          <cell r="B434">
            <v>46183</v>
          </cell>
          <cell r="C434" t="str">
            <v>已齐</v>
          </cell>
        </row>
        <row r="434">
          <cell r="G434" t="str">
            <v>JJB63071</v>
          </cell>
          <cell r="H434">
            <v>46150</v>
          </cell>
        </row>
        <row r="435">
          <cell r="A435" t="str">
            <v>JKN63479</v>
          </cell>
          <cell r="B435">
            <v>46183</v>
          </cell>
          <cell r="C435" t="str">
            <v>已齐</v>
          </cell>
        </row>
        <row r="435">
          <cell r="G435" t="str">
            <v>JXB63072</v>
          </cell>
          <cell r="H435">
            <v>46146</v>
          </cell>
        </row>
        <row r="436">
          <cell r="A436" t="str">
            <v>JTG63487</v>
          </cell>
          <cell r="B436">
            <v>46183</v>
          </cell>
          <cell r="C436" t="str">
            <v>已齐</v>
          </cell>
        </row>
        <row r="436">
          <cell r="G436" t="str">
            <v>JQG63073</v>
          </cell>
          <cell r="H436">
            <v>46149</v>
          </cell>
        </row>
        <row r="437">
          <cell r="A437" t="str">
            <v>JXB63498</v>
          </cell>
          <cell r="B437">
            <v>46183</v>
          </cell>
          <cell r="C437" t="str">
            <v>已齐</v>
          </cell>
        </row>
        <row r="437">
          <cell r="G437" t="str">
            <v>JQG63074</v>
          </cell>
          <cell r="H437">
            <v>46149</v>
          </cell>
        </row>
        <row r="438">
          <cell r="A438" t="str">
            <v>JRG63497</v>
          </cell>
          <cell r="B438">
            <v>46183</v>
          </cell>
          <cell r="C438" t="str">
            <v>已齐</v>
          </cell>
        </row>
        <row r="438">
          <cell r="G438" t="str">
            <v>JGG63075</v>
          </cell>
          <cell r="H438">
            <v>46157</v>
          </cell>
        </row>
        <row r="439">
          <cell r="A439" t="str">
            <v>JRB63496</v>
          </cell>
          <cell r="B439">
            <v>46183</v>
          </cell>
          <cell r="C439" t="str">
            <v>已齐</v>
          </cell>
        </row>
        <row r="439">
          <cell r="G439" t="str">
            <v>JGB63076</v>
          </cell>
          <cell r="H439">
            <v>46149</v>
          </cell>
        </row>
        <row r="440">
          <cell r="A440" t="str">
            <v>JTG63404</v>
          </cell>
          <cell r="B440">
            <v>46183</v>
          </cell>
          <cell r="C440" t="str">
            <v>已齐</v>
          </cell>
          <cell r="D440" t="str">
            <v>无成分唛</v>
          </cell>
        </row>
        <row r="440">
          <cell r="G440" t="str">
            <v>JXG63077</v>
          </cell>
          <cell r="H440">
            <v>46146</v>
          </cell>
        </row>
        <row r="441">
          <cell r="A441" t="str">
            <v>JXB63360</v>
          </cell>
          <cell r="B441">
            <v>46183</v>
          </cell>
          <cell r="C441" t="str">
            <v>已齐</v>
          </cell>
          <cell r="D441" t="str">
            <v>无成分唛</v>
          </cell>
        </row>
        <row r="441">
          <cell r="G441" t="str">
            <v>JRG63078</v>
          </cell>
          <cell r="H441">
            <v>46146</v>
          </cell>
        </row>
        <row r="442">
          <cell r="A442" t="str">
            <v>JJG63362</v>
          </cell>
          <cell r="B442">
            <v>46183</v>
          </cell>
          <cell r="C442" t="str">
            <v>已齐</v>
          </cell>
        </row>
        <row r="442">
          <cell r="G442" t="str">
            <v>JXG63079</v>
          </cell>
          <cell r="H442">
            <v>46146</v>
          </cell>
        </row>
        <row r="443">
          <cell r="A443" t="str">
            <v>JTB63369</v>
          </cell>
          <cell r="B443">
            <v>46183</v>
          </cell>
          <cell r="C443" t="str">
            <v>已齐</v>
          </cell>
          <cell r="D443" t="str">
            <v>无成分唛</v>
          </cell>
        </row>
        <row r="443">
          <cell r="G443" t="str">
            <v>JKG63080</v>
          </cell>
          <cell r="H443">
            <v>46147</v>
          </cell>
        </row>
        <row r="444">
          <cell r="A444" t="str">
            <v>JKG63371</v>
          </cell>
          <cell r="B444">
            <v>46183</v>
          </cell>
          <cell r="C444" t="str">
            <v>已齐</v>
          </cell>
        </row>
        <row r="444">
          <cell r="G444" t="str">
            <v>JXN63081</v>
          </cell>
          <cell r="H444">
            <v>46146</v>
          </cell>
        </row>
        <row r="445">
          <cell r="A445" t="str">
            <v>JKB63372</v>
          </cell>
          <cell r="B445">
            <v>46183</v>
          </cell>
          <cell r="C445" t="str">
            <v>已齐</v>
          </cell>
        </row>
        <row r="445">
          <cell r="G445" t="str">
            <v>JXG63473</v>
          </cell>
          <cell r="H445">
            <v>46146</v>
          </cell>
        </row>
        <row r="446">
          <cell r="A446" t="str">
            <v>JXG63896</v>
          </cell>
          <cell r="B446">
            <v>46183</v>
          </cell>
          <cell r="C446" t="str">
            <v>已齐</v>
          </cell>
        </row>
        <row r="446">
          <cell r="G446" t="str">
            <v>JXG63474</v>
          </cell>
          <cell r="H446">
            <v>46144</v>
          </cell>
        </row>
        <row r="447">
          <cell r="A447" t="str">
            <v>JGG63377</v>
          </cell>
          <cell r="B447">
            <v>46183</v>
          </cell>
          <cell r="C447" t="str">
            <v>已齐</v>
          </cell>
        </row>
        <row r="447">
          <cell r="G447" t="str">
            <v>JRG63475</v>
          </cell>
          <cell r="H447">
            <v>46146</v>
          </cell>
        </row>
        <row r="448">
          <cell r="A448" t="str">
            <v>JDG63384</v>
          </cell>
          <cell r="B448">
            <v>46183</v>
          </cell>
          <cell r="C448" t="str">
            <v>已齐</v>
          </cell>
        </row>
        <row r="448">
          <cell r="G448" t="str">
            <v>JRG63476</v>
          </cell>
          <cell r="H448">
            <v>46146</v>
          </cell>
        </row>
        <row r="449">
          <cell r="A449" t="str">
            <v>JMG63359</v>
          </cell>
          <cell r="B449">
            <v>46183</v>
          </cell>
          <cell r="C449" t="str">
            <v>已齐</v>
          </cell>
          <cell r="D449" t="str">
            <v>无成分唛</v>
          </cell>
        </row>
        <row r="449">
          <cell r="G449" t="str">
            <v>JKG63477</v>
          </cell>
          <cell r="H449">
            <v>46147</v>
          </cell>
        </row>
        <row r="450">
          <cell r="A450" t="str">
            <v>JMG63689</v>
          </cell>
          <cell r="B450">
            <v>46183</v>
          </cell>
          <cell r="C450" t="str">
            <v>已齐</v>
          </cell>
          <cell r="D450" t="str">
            <v>无成分唛</v>
          </cell>
        </row>
        <row r="450">
          <cell r="G450" t="str">
            <v>JKG63478</v>
          </cell>
          <cell r="H450">
            <v>46144</v>
          </cell>
        </row>
        <row r="451">
          <cell r="A451" t="str">
            <v>JAG64813</v>
          </cell>
          <cell r="B451">
            <v>46185</v>
          </cell>
          <cell r="C451" t="str">
            <v>已齐</v>
          </cell>
        </row>
        <row r="451">
          <cell r="G451" t="str">
            <v>JKN63479</v>
          </cell>
          <cell r="H451">
            <v>46147</v>
          </cell>
        </row>
        <row r="452">
          <cell r="A452" t="str">
            <v>JNN65506</v>
          </cell>
          <cell r="B452">
            <v>46185</v>
          </cell>
          <cell r="C452" t="str">
            <v>已齐</v>
          </cell>
          <cell r="D452" t="str">
            <v>无成分唛</v>
          </cell>
        </row>
        <row r="452">
          <cell r="G452" t="str">
            <v>JTG63483</v>
          </cell>
          <cell r="H452">
            <v>46144</v>
          </cell>
        </row>
        <row r="453">
          <cell r="A453" t="str">
            <v>JTN63488</v>
          </cell>
          <cell r="B453">
            <v>46185</v>
          </cell>
          <cell r="C453" t="str">
            <v>已齐</v>
          </cell>
        </row>
        <row r="453">
          <cell r="G453" t="str">
            <v>JTG63482</v>
          </cell>
          <cell r="H453">
            <v>46149</v>
          </cell>
        </row>
        <row r="454">
          <cell r="A454" t="str">
            <v>JDG63493</v>
          </cell>
          <cell r="B454">
            <v>46185</v>
          </cell>
          <cell r="C454" t="str">
            <v>已齐</v>
          </cell>
        </row>
        <row r="454">
          <cell r="G454" t="str">
            <v>JTG63481</v>
          </cell>
          <cell r="H454">
            <v>46148</v>
          </cell>
        </row>
        <row r="455">
          <cell r="A455" t="str">
            <v>JTG63402</v>
          </cell>
          <cell r="B455">
            <v>46185</v>
          </cell>
          <cell r="C455" t="str">
            <v>已齐</v>
          </cell>
        </row>
        <row r="455">
          <cell r="G455" t="str">
            <v>JTB63480</v>
          </cell>
          <cell r="H455">
            <v>46147</v>
          </cell>
        </row>
        <row r="456">
          <cell r="A456" t="str">
            <v>JJG63363</v>
          </cell>
          <cell r="B456">
            <v>46185</v>
          </cell>
          <cell r="C456" t="str">
            <v>已齐</v>
          </cell>
        </row>
        <row r="456">
          <cell r="G456" t="str">
            <v>JXG63485</v>
          </cell>
          <cell r="H456">
            <v>46147</v>
          </cell>
        </row>
        <row r="457">
          <cell r="A457" t="str">
            <v>JJN63364</v>
          </cell>
          <cell r="B457">
            <v>46185</v>
          </cell>
          <cell r="C457" t="str">
            <v>已齐</v>
          </cell>
          <cell r="D457" t="str">
            <v>无成分唛</v>
          </cell>
        </row>
        <row r="457">
          <cell r="G457" t="str">
            <v>JKN63484</v>
          </cell>
          <cell r="H457">
            <v>46147</v>
          </cell>
        </row>
        <row r="458">
          <cell r="A458" t="str">
            <v>JQG63366</v>
          </cell>
          <cell r="B458">
            <v>46185</v>
          </cell>
          <cell r="C458" t="str">
            <v>已齐</v>
          </cell>
        </row>
        <row r="458">
          <cell r="G458" t="str">
            <v>JTG63486</v>
          </cell>
          <cell r="H458">
            <v>46158</v>
          </cell>
        </row>
        <row r="459">
          <cell r="A459" t="str">
            <v>JTG63368</v>
          </cell>
          <cell r="B459">
            <v>46185</v>
          </cell>
          <cell r="C459" t="str">
            <v>已齐</v>
          </cell>
        </row>
        <row r="459">
          <cell r="G459" t="str">
            <v>JTG63487</v>
          </cell>
          <cell r="H459">
            <v>46160</v>
          </cell>
        </row>
        <row r="460">
          <cell r="A460" t="str">
            <v>JLB63373</v>
          </cell>
          <cell r="B460">
            <v>46185</v>
          </cell>
          <cell r="C460" t="str">
            <v>已齐</v>
          </cell>
        </row>
        <row r="460">
          <cell r="G460" t="str">
            <v>JTN63488</v>
          </cell>
          <cell r="H460">
            <v>46158</v>
          </cell>
        </row>
        <row r="461">
          <cell r="A461" t="str">
            <v>JHG63082</v>
          </cell>
          <cell r="B461">
            <v>46185</v>
          </cell>
          <cell r="C461" t="str">
            <v>已齐</v>
          </cell>
        </row>
        <row r="461">
          <cell r="G461" t="str">
            <v>JQG63489</v>
          </cell>
          <cell r="H461">
            <v>46164</v>
          </cell>
        </row>
        <row r="462">
          <cell r="A462" t="str">
            <v>JKG63083</v>
          </cell>
          <cell r="B462">
            <v>46185</v>
          </cell>
          <cell r="C462" t="str">
            <v>已齐</v>
          </cell>
        </row>
        <row r="462">
          <cell r="G462" t="str">
            <v>JQG63490</v>
          </cell>
          <cell r="H462">
            <v>46164</v>
          </cell>
        </row>
        <row r="463">
          <cell r="A463" t="str">
            <v>JMG63596</v>
          </cell>
          <cell r="B463">
            <v>46185</v>
          </cell>
          <cell r="C463" t="str">
            <v>已齐</v>
          </cell>
          <cell r="D463" t="str">
            <v>无成分唛</v>
          </cell>
        </row>
        <row r="463">
          <cell r="G463" t="str">
            <v>JHN63491</v>
          </cell>
          <cell r="H463">
            <v>46160</v>
          </cell>
        </row>
        <row r="464">
          <cell r="A464" t="str">
            <v>JLG63380</v>
          </cell>
          <cell r="B464">
            <v>46185</v>
          </cell>
          <cell r="C464" t="str">
            <v>已齐</v>
          </cell>
        </row>
        <row r="464">
          <cell r="G464" t="str">
            <v>JXG63499</v>
          </cell>
          <cell r="H464">
            <v>46158</v>
          </cell>
        </row>
        <row r="465">
          <cell r="A465" t="str">
            <v>JQG63382</v>
          </cell>
          <cell r="B465">
            <v>46185</v>
          </cell>
          <cell r="C465" t="str">
            <v>已齐</v>
          </cell>
          <cell r="D465" t="str">
            <v>无成分唛</v>
          </cell>
        </row>
        <row r="465">
          <cell r="G465" t="str">
            <v>JXB63498</v>
          </cell>
          <cell r="H465">
            <v>46157</v>
          </cell>
        </row>
        <row r="466">
          <cell r="A466" t="str">
            <v>JMG63522</v>
          </cell>
          <cell r="B466">
            <v>46185</v>
          </cell>
          <cell r="C466" t="str">
            <v>已齐</v>
          </cell>
          <cell r="D466" t="str">
            <v>无成分唛</v>
          </cell>
        </row>
        <row r="466">
          <cell r="G466" t="str">
            <v>JRG63497</v>
          </cell>
          <cell r="H466">
            <v>46157</v>
          </cell>
        </row>
        <row r="467">
          <cell r="A467" t="str">
            <v>JAN64506</v>
          </cell>
          <cell r="B467">
            <v>46188</v>
          </cell>
          <cell r="C467" t="str">
            <v>已齐</v>
          </cell>
        </row>
        <row r="467">
          <cell r="G467" t="str">
            <v>JRB63496</v>
          </cell>
          <cell r="H467">
            <v>46157</v>
          </cell>
        </row>
        <row r="468">
          <cell r="A468" t="str">
            <v>JDG65007</v>
          </cell>
          <cell r="B468">
            <v>46188</v>
          </cell>
          <cell r="C468" t="str">
            <v>已齐</v>
          </cell>
        </row>
        <row r="468">
          <cell r="G468" t="str">
            <v>JRB63495</v>
          </cell>
          <cell r="H468">
            <v>46160</v>
          </cell>
        </row>
        <row r="469">
          <cell r="A469" t="str">
            <v>JJG65501</v>
          </cell>
          <cell r="B469">
            <v>46188</v>
          </cell>
          <cell r="C469" t="str">
            <v>已齐</v>
          </cell>
        </row>
        <row r="469">
          <cell r="G469" t="str">
            <v>JKN63494</v>
          </cell>
          <cell r="H469">
            <v>46157</v>
          </cell>
        </row>
        <row r="470">
          <cell r="A470" t="str">
            <v>JRB63495</v>
          </cell>
          <cell r="B470">
            <v>46188</v>
          </cell>
          <cell r="C470" t="str">
            <v>已齐</v>
          </cell>
        </row>
        <row r="470">
          <cell r="G470" t="str">
            <v>JDG63493</v>
          </cell>
          <cell r="H470">
            <v>46160</v>
          </cell>
        </row>
        <row r="471">
          <cell r="A471" t="str">
            <v>JTB65509</v>
          </cell>
          <cell r="B471">
            <v>46188</v>
          </cell>
          <cell r="C471" t="str">
            <v>已齐</v>
          </cell>
        </row>
        <row r="471">
          <cell r="G471" t="str">
            <v>JDG63492</v>
          </cell>
          <cell r="H471">
            <v>46159</v>
          </cell>
        </row>
        <row r="472">
          <cell r="A472" t="str">
            <v>JQG63365</v>
          </cell>
          <cell r="B472">
            <v>46188</v>
          </cell>
          <cell r="C472" t="str">
            <v>已齐</v>
          </cell>
          <cell r="D472" t="str">
            <v>无成分唛</v>
          </cell>
        </row>
        <row r="472">
          <cell r="G472" t="str">
            <v>JTB65509</v>
          </cell>
          <cell r="H472">
            <v>46167</v>
          </cell>
        </row>
        <row r="473">
          <cell r="A473" t="str">
            <v>JTG63367</v>
          </cell>
          <cell r="B473">
            <v>46188</v>
          </cell>
          <cell r="C473" t="str">
            <v>已齐</v>
          </cell>
          <cell r="D473" t="str">
            <v>无成分唛</v>
          </cell>
        </row>
        <row r="473">
          <cell r="G473" t="str">
            <v>JTG63402</v>
          </cell>
          <cell r="H473">
            <v>46160</v>
          </cell>
        </row>
        <row r="474">
          <cell r="A474" t="str">
            <v>JCG63087</v>
          </cell>
          <cell r="B474">
            <v>46188</v>
          </cell>
          <cell r="C474" t="str">
            <v>已齐</v>
          </cell>
        </row>
        <row r="474">
          <cell r="G474" t="str">
            <v>JTG63403</v>
          </cell>
          <cell r="H474">
            <v>46156</v>
          </cell>
        </row>
        <row r="475">
          <cell r="A475" t="str">
            <v>JMG63089</v>
          </cell>
          <cell r="B475">
            <v>46188</v>
          </cell>
          <cell r="C475" t="str">
            <v>已齐</v>
          </cell>
          <cell r="D475" t="str">
            <v>无成分唛</v>
          </cell>
        </row>
        <row r="475">
          <cell r="G475" t="str">
            <v>JTG63404</v>
          </cell>
          <cell r="H475">
            <v>46156</v>
          </cell>
        </row>
        <row r="476">
          <cell r="A476" t="str">
            <v>JCG63093</v>
          </cell>
          <cell r="B476">
            <v>46188</v>
          </cell>
          <cell r="C476" t="str">
            <v>已齐</v>
          </cell>
          <cell r="D476" t="str">
            <v>无成分唛</v>
          </cell>
        </row>
        <row r="476">
          <cell r="G476" t="str">
            <v>JAG64509</v>
          </cell>
          <cell r="H476">
            <v>46177</v>
          </cell>
        </row>
        <row r="477">
          <cell r="A477" t="str">
            <v>JKG63095</v>
          </cell>
          <cell r="B477">
            <v>46188</v>
          </cell>
          <cell r="C477" t="str">
            <v>已齐</v>
          </cell>
          <cell r="D477" t="str">
            <v>无成分唛</v>
          </cell>
        </row>
        <row r="477">
          <cell r="G477" t="str">
            <v>JTB63357</v>
          </cell>
          <cell r="H477">
            <v>46156</v>
          </cell>
        </row>
        <row r="478">
          <cell r="A478" t="str">
            <v>JEG63096</v>
          </cell>
          <cell r="B478">
            <v>46188</v>
          </cell>
          <cell r="C478" t="str">
            <v>已齐</v>
          </cell>
          <cell r="D478" t="str">
            <v>无成分唛</v>
          </cell>
        </row>
        <row r="478">
          <cell r="G478" t="str">
            <v>JXB63360</v>
          </cell>
          <cell r="H478">
            <v>46157</v>
          </cell>
        </row>
        <row r="479">
          <cell r="A479" t="str">
            <v>JJG63898</v>
          </cell>
          <cell r="B479">
            <v>46188</v>
          </cell>
          <cell r="C479" t="str">
            <v>已齐</v>
          </cell>
          <cell r="D479" t="str">
            <v>无成分唛</v>
          </cell>
        </row>
        <row r="479">
          <cell r="G479" t="str">
            <v>JXG63361</v>
          </cell>
          <cell r="H479">
            <v>46156</v>
          </cell>
        </row>
        <row r="480">
          <cell r="A480" t="str">
            <v>JTG65806</v>
          </cell>
          <cell r="B480">
            <v>46188</v>
          </cell>
          <cell r="C480" t="str">
            <v>已齐</v>
          </cell>
          <cell r="D480" t="str">
            <v>无成分唛</v>
          </cell>
        </row>
        <row r="480">
          <cell r="G480" t="str">
            <v>JJG63362</v>
          </cell>
          <cell r="H480">
            <v>46158</v>
          </cell>
        </row>
        <row r="481">
          <cell r="A481" t="str">
            <v>JDG63111</v>
          </cell>
          <cell r="B481">
            <v>46188</v>
          </cell>
          <cell r="C481" t="str">
            <v>已齐</v>
          </cell>
        </row>
        <row r="481">
          <cell r="G481" t="str">
            <v>JJG63363</v>
          </cell>
          <cell r="H481">
            <v>46160</v>
          </cell>
        </row>
        <row r="482">
          <cell r="A482" t="str">
            <v>JXG63912</v>
          </cell>
          <cell r="B482">
            <v>46188</v>
          </cell>
          <cell r="C482" t="str">
            <v>已齐</v>
          </cell>
        </row>
        <row r="482">
          <cell r="G482" t="str">
            <v>JJN63364</v>
          </cell>
          <cell r="H482">
            <v>46160</v>
          </cell>
        </row>
        <row r="483">
          <cell r="A483" t="str">
            <v>JRG63428</v>
          </cell>
          <cell r="B483">
            <v>46188</v>
          </cell>
          <cell r="C483" t="str">
            <v>已齐</v>
          </cell>
        </row>
        <row r="483">
          <cell r="G483" t="str">
            <v>JQG63365</v>
          </cell>
          <cell r="H483">
            <v>46159</v>
          </cell>
        </row>
        <row r="484">
          <cell r="A484" t="str">
            <v>JRG63427</v>
          </cell>
          <cell r="B484">
            <v>46188</v>
          </cell>
          <cell r="C484" t="str">
            <v>已齐</v>
          </cell>
        </row>
        <row r="484">
          <cell r="G484" t="str">
            <v>JQG63366</v>
          </cell>
          <cell r="H484">
            <v>46159</v>
          </cell>
        </row>
        <row r="485">
          <cell r="A485" t="str">
            <v>JRN63426</v>
          </cell>
          <cell r="B485">
            <v>46188</v>
          </cell>
          <cell r="C485" t="str">
            <v>已齐</v>
          </cell>
        </row>
        <row r="485">
          <cell r="G485" t="str">
            <v>JTG63367</v>
          </cell>
          <cell r="H485">
            <v>46161</v>
          </cell>
        </row>
        <row r="486">
          <cell r="A486" t="str">
            <v>JYG64856</v>
          </cell>
          <cell r="B486">
            <v>46188</v>
          </cell>
          <cell r="C486" t="str">
            <v>已齐</v>
          </cell>
          <cell r="D486" t="str">
            <v>无成分唛</v>
          </cell>
        </row>
        <row r="486">
          <cell r="G486" t="str">
            <v>JTG63368</v>
          </cell>
          <cell r="H486">
            <v>46159</v>
          </cell>
        </row>
        <row r="487">
          <cell r="A487" t="str">
            <v>JYB64858</v>
          </cell>
          <cell r="B487">
            <v>46188</v>
          </cell>
          <cell r="C487" t="str">
            <v>已齐</v>
          </cell>
          <cell r="D487" t="str">
            <v>无成分唛</v>
          </cell>
        </row>
        <row r="487">
          <cell r="G487" t="str">
            <v>JTB63369</v>
          </cell>
          <cell r="H487">
            <v>46156</v>
          </cell>
        </row>
        <row r="488">
          <cell r="A488" t="str">
            <v>JYG64857</v>
          </cell>
          <cell r="B488">
            <v>46188</v>
          </cell>
          <cell r="C488" t="str">
            <v>已齐</v>
          </cell>
          <cell r="D488" t="str">
            <v>无成分唛</v>
          </cell>
        </row>
        <row r="488">
          <cell r="G488" t="str">
            <v>JTB63370</v>
          </cell>
          <cell r="H488">
            <v>46161</v>
          </cell>
        </row>
        <row r="489">
          <cell r="A489" t="str">
            <v>JYB64860</v>
          </cell>
          <cell r="B489">
            <v>46188</v>
          </cell>
          <cell r="C489" t="str">
            <v>已齐</v>
          </cell>
          <cell r="D489" t="str">
            <v>无成分唛</v>
          </cell>
        </row>
        <row r="489">
          <cell r="G489" t="str">
            <v>JKG63371</v>
          </cell>
          <cell r="H489">
            <v>46161</v>
          </cell>
        </row>
        <row r="490">
          <cell r="A490" t="str">
            <v>JYB64861</v>
          </cell>
          <cell r="B490">
            <v>46188</v>
          </cell>
          <cell r="C490" t="str">
            <v>已齐</v>
          </cell>
          <cell r="D490" t="str">
            <v>无成分唛</v>
          </cell>
        </row>
        <row r="490">
          <cell r="G490" t="str">
            <v>JKB63372</v>
          </cell>
          <cell r="H490">
            <v>46156</v>
          </cell>
        </row>
        <row r="491">
          <cell r="A491" t="str">
            <v>JAG64507</v>
          </cell>
          <cell r="B491">
            <v>46190</v>
          </cell>
          <cell r="C491" t="str">
            <v>已齐</v>
          </cell>
          <cell r="D491" t="str">
            <v>无成分唛</v>
          </cell>
        </row>
        <row r="491">
          <cell r="G491" t="str">
            <v>JLB63373</v>
          </cell>
          <cell r="H491">
            <v>46161</v>
          </cell>
        </row>
        <row r="492">
          <cell r="A492" t="str">
            <v>JTB63370</v>
          </cell>
          <cell r="B492">
            <v>46190</v>
          </cell>
          <cell r="C492" t="str">
            <v>已齐</v>
          </cell>
        </row>
        <row r="492">
          <cell r="G492" t="str">
            <v>JJG65603</v>
          </cell>
          <cell r="H492">
            <v>46167</v>
          </cell>
        </row>
        <row r="493">
          <cell r="A493" t="str">
            <v>JLG63088</v>
          </cell>
          <cell r="B493">
            <v>46190</v>
          </cell>
          <cell r="C493" t="str">
            <v>已齐</v>
          </cell>
        </row>
        <row r="493">
          <cell r="G493" t="str">
            <v>JAG64602</v>
          </cell>
          <cell r="H493">
            <v>46177</v>
          </cell>
        </row>
        <row r="494">
          <cell r="A494" t="str">
            <v>JQG63092</v>
          </cell>
          <cell r="B494">
            <v>46190</v>
          </cell>
          <cell r="C494" t="str">
            <v>已齐</v>
          </cell>
        </row>
        <row r="494">
          <cell r="G494" t="str">
            <v>JAG64603</v>
          </cell>
          <cell r="H494">
            <v>46177</v>
          </cell>
        </row>
        <row r="495">
          <cell r="A495" t="str">
            <v>JCG63378</v>
          </cell>
          <cell r="B495">
            <v>46190</v>
          </cell>
          <cell r="C495" t="str">
            <v>已齐</v>
          </cell>
        </row>
        <row r="495">
          <cell r="G495" t="str">
            <v>JAG64604</v>
          </cell>
          <cell r="H495">
            <v>46177</v>
          </cell>
        </row>
        <row r="496">
          <cell r="A496" t="str">
            <v>JKB63386</v>
          </cell>
          <cell r="B496">
            <v>46190</v>
          </cell>
          <cell r="C496" t="str">
            <v>已齐</v>
          </cell>
        </row>
        <row r="496">
          <cell r="G496" t="str">
            <v>JHG63082</v>
          </cell>
          <cell r="H496">
            <v>46161</v>
          </cell>
        </row>
        <row r="497">
          <cell r="A497" t="str">
            <v>JKG63415</v>
          </cell>
          <cell r="B497">
            <v>46190</v>
          </cell>
          <cell r="C497" t="str">
            <v>已齐</v>
          </cell>
        </row>
        <row r="497">
          <cell r="G497" t="str">
            <v>JKG63083</v>
          </cell>
          <cell r="H497">
            <v>46153</v>
          </cell>
        </row>
        <row r="498">
          <cell r="A498" t="str">
            <v>JTG63911</v>
          </cell>
          <cell r="B498">
            <v>46190</v>
          </cell>
          <cell r="C498" t="str">
            <v>已齐</v>
          </cell>
        </row>
        <row r="498">
          <cell r="G498" t="str">
            <v>JQG63085</v>
          </cell>
          <cell r="H498">
            <v>46165</v>
          </cell>
        </row>
        <row r="499">
          <cell r="A499" t="str">
            <v>JRG63114</v>
          </cell>
          <cell r="B499">
            <v>46190</v>
          </cell>
          <cell r="C499" t="str">
            <v>已齐</v>
          </cell>
        </row>
        <row r="499">
          <cell r="G499" t="str">
            <v>JQG63086</v>
          </cell>
          <cell r="H499">
            <v>46165</v>
          </cell>
        </row>
        <row r="500">
          <cell r="A500" t="str">
            <v>JJN65822</v>
          </cell>
          <cell r="B500">
            <v>46190</v>
          </cell>
          <cell r="C500" t="str">
            <v>已齐</v>
          </cell>
          <cell r="D500" t="str">
            <v>无成分唛</v>
          </cell>
        </row>
        <row r="500">
          <cell r="G500" t="str">
            <v>JCG63087</v>
          </cell>
          <cell r="H500">
            <v>46161</v>
          </cell>
        </row>
        <row r="501">
          <cell r="A501" t="str">
            <v>JJN63921</v>
          </cell>
          <cell r="B501">
            <v>46190</v>
          </cell>
          <cell r="C501" t="str">
            <v>已齐</v>
          </cell>
          <cell r="D501" t="str">
            <v>无成分唛</v>
          </cell>
        </row>
        <row r="501">
          <cell r="G501" t="str">
            <v>JLG63088</v>
          </cell>
          <cell r="H501">
            <v>46161</v>
          </cell>
        </row>
        <row r="502">
          <cell r="A502" t="str">
            <v>JJN65826</v>
          </cell>
          <cell r="B502">
            <v>46190</v>
          </cell>
          <cell r="C502" t="str">
            <v>已齐</v>
          </cell>
          <cell r="D502" t="str">
            <v>无成分唛</v>
          </cell>
        </row>
        <row r="502">
          <cell r="G502" t="str">
            <v>JMG63089</v>
          </cell>
          <cell r="H502">
            <v>46162</v>
          </cell>
        </row>
        <row r="503">
          <cell r="A503" t="str">
            <v>JYN64814A</v>
          </cell>
          <cell r="B503">
            <v>46190</v>
          </cell>
          <cell r="C503" t="str">
            <v>已齐</v>
          </cell>
          <cell r="D503" t="str">
            <v>无成分唛</v>
          </cell>
        </row>
        <row r="503">
          <cell r="G503" t="str">
            <v>JJG63090</v>
          </cell>
          <cell r="H503">
            <v>46167</v>
          </cell>
        </row>
        <row r="504">
          <cell r="A504" t="str">
            <v>JYN64855</v>
          </cell>
          <cell r="B504">
            <v>46190</v>
          </cell>
          <cell r="C504" t="str">
            <v>已齐</v>
          </cell>
        </row>
        <row r="504">
          <cell r="G504" t="str">
            <v>JQG63091</v>
          </cell>
          <cell r="H504">
            <v>46167</v>
          </cell>
        </row>
        <row r="505">
          <cell r="A505" t="str">
            <v>JNG65508</v>
          </cell>
          <cell r="B505">
            <v>46193</v>
          </cell>
          <cell r="C505" t="str">
            <v>已齐</v>
          </cell>
        </row>
        <row r="505">
          <cell r="G505" t="str">
            <v>JQG63092</v>
          </cell>
          <cell r="H505">
            <v>46167</v>
          </cell>
        </row>
        <row r="506">
          <cell r="A506" t="str">
            <v>JJN63882B</v>
          </cell>
          <cell r="B506">
            <v>46193</v>
          </cell>
          <cell r="C506" t="str">
            <v>已齐</v>
          </cell>
        </row>
        <row r="506">
          <cell r="G506" t="str">
            <v>JCG63093</v>
          </cell>
          <cell r="H506">
            <v>46161</v>
          </cell>
        </row>
        <row r="507">
          <cell r="A507" t="str">
            <v>JQG63490</v>
          </cell>
          <cell r="B507">
            <v>46193</v>
          </cell>
          <cell r="C507" t="str">
            <v>已齐</v>
          </cell>
        </row>
        <row r="507">
          <cell r="G507" t="str">
            <v>JEG63094</v>
          </cell>
          <cell r="H507">
            <v>46167</v>
          </cell>
        </row>
        <row r="508">
          <cell r="A508" t="str">
            <v>JQG63085</v>
          </cell>
          <cell r="B508">
            <v>46193</v>
          </cell>
          <cell r="C508" t="str">
            <v>已齐</v>
          </cell>
        </row>
        <row r="508">
          <cell r="G508" t="str">
            <v>JKG63095</v>
          </cell>
          <cell r="H508">
            <v>46161</v>
          </cell>
        </row>
        <row r="509">
          <cell r="A509" t="str">
            <v>JJG63090</v>
          </cell>
          <cell r="B509">
            <v>46193</v>
          </cell>
          <cell r="C509" t="str">
            <v>已齐</v>
          </cell>
          <cell r="D509" t="str">
            <v>无成分唛</v>
          </cell>
        </row>
        <row r="509">
          <cell r="G509" t="str">
            <v>JEG63096</v>
          </cell>
          <cell r="H509">
            <v>46162</v>
          </cell>
        </row>
        <row r="510">
          <cell r="A510" t="str">
            <v>JQG63091</v>
          </cell>
          <cell r="B510">
            <v>46193</v>
          </cell>
          <cell r="C510" t="str">
            <v>已齐</v>
          </cell>
          <cell r="D510" t="str">
            <v>无成分唛</v>
          </cell>
        </row>
        <row r="510">
          <cell r="G510" t="str">
            <v>JXG63097</v>
          </cell>
          <cell r="H510">
            <v>46161</v>
          </cell>
        </row>
        <row r="511">
          <cell r="A511" t="str">
            <v>JEG63094</v>
          </cell>
          <cell r="B511">
            <v>46193</v>
          </cell>
          <cell r="C511" t="str">
            <v>已齐</v>
          </cell>
        </row>
        <row r="511">
          <cell r="G511" t="str">
            <v>JEG63098</v>
          </cell>
          <cell r="H511">
            <v>46169</v>
          </cell>
        </row>
        <row r="512">
          <cell r="A512" t="str">
            <v>JGG63376</v>
          </cell>
          <cell r="B512">
            <v>46193</v>
          </cell>
          <cell r="C512" t="str">
            <v>已齐</v>
          </cell>
        </row>
        <row r="512">
          <cell r="G512" t="str">
            <v>JEG63099</v>
          </cell>
          <cell r="H512">
            <v>46169</v>
          </cell>
        </row>
        <row r="513">
          <cell r="A513" t="str">
            <v>JXB63410</v>
          </cell>
          <cell r="B513">
            <v>46193</v>
          </cell>
          <cell r="C513" t="str">
            <v>已齐</v>
          </cell>
        </row>
        <row r="513">
          <cell r="G513" t="str">
            <v>JQG63866</v>
          </cell>
          <cell r="H513">
            <v>46169</v>
          </cell>
        </row>
        <row r="514">
          <cell r="A514" t="str">
            <v>JLG63416</v>
          </cell>
          <cell r="B514">
            <v>46193</v>
          </cell>
          <cell r="C514" t="str">
            <v>已齐</v>
          </cell>
        </row>
        <row r="514">
          <cell r="G514" t="str">
            <v>JXG63896</v>
          </cell>
          <cell r="H514">
            <v>46162</v>
          </cell>
        </row>
        <row r="515">
          <cell r="A515" t="str">
            <v>JLB63102</v>
          </cell>
          <cell r="B515">
            <v>46193</v>
          </cell>
          <cell r="C515" t="str">
            <v>已齐</v>
          </cell>
        </row>
        <row r="515">
          <cell r="G515" t="str">
            <v>JJG63898</v>
          </cell>
          <cell r="H515">
            <v>46162</v>
          </cell>
        </row>
        <row r="516">
          <cell r="A516" t="str">
            <v>JXG63909</v>
          </cell>
          <cell r="B516">
            <v>46193</v>
          </cell>
          <cell r="C516" t="str">
            <v>已齐</v>
          </cell>
        </row>
        <row r="516">
          <cell r="G516" t="str">
            <v>JQG63899</v>
          </cell>
          <cell r="H516">
            <v>46162</v>
          </cell>
        </row>
        <row r="517">
          <cell r="A517" t="str">
            <v>JXG63113</v>
          </cell>
          <cell r="B517">
            <v>46193</v>
          </cell>
          <cell r="C517" t="str">
            <v>已齐</v>
          </cell>
        </row>
        <row r="517">
          <cell r="G517" t="str">
            <v>JQG63900</v>
          </cell>
          <cell r="H517">
            <v>46168</v>
          </cell>
        </row>
        <row r="518">
          <cell r="A518" t="str">
            <v>JYG64802</v>
          </cell>
          <cell r="B518">
            <v>46193</v>
          </cell>
          <cell r="C518" t="str">
            <v>粉色已交，欠其他色</v>
          </cell>
          <cell r="D518" t="str">
            <v>无成分唛</v>
          </cell>
        </row>
        <row r="518">
          <cell r="G518" t="str">
            <v>JQG63901</v>
          </cell>
          <cell r="H518">
            <v>46168</v>
          </cell>
        </row>
        <row r="519">
          <cell r="A519" t="str">
            <v>JYG64803</v>
          </cell>
          <cell r="B519">
            <v>46193</v>
          </cell>
          <cell r="C519" t="str">
            <v>已齐</v>
          </cell>
          <cell r="D519" t="str">
            <v>无成分唛</v>
          </cell>
        </row>
        <row r="519">
          <cell r="G519" t="str">
            <v>JTG63902</v>
          </cell>
          <cell r="H519">
            <v>46168</v>
          </cell>
        </row>
        <row r="520">
          <cell r="A520" t="str">
            <v>JYN64805</v>
          </cell>
          <cell r="B520">
            <v>46193</v>
          </cell>
          <cell r="C520" t="str">
            <v>已齐</v>
          </cell>
          <cell r="D520" t="str">
            <v>无成分唛</v>
          </cell>
        </row>
        <row r="520">
          <cell r="G520" t="str">
            <v>JJN65812</v>
          </cell>
          <cell r="H520">
            <v>46168</v>
          </cell>
        </row>
        <row r="521">
          <cell r="A521" t="str">
            <v>JYN64806</v>
          </cell>
          <cell r="B521">
            <v>46193</v>
          </cell>
          <cell r="C521" t="str">
            <v>已齐</v>
          </cell>
          <cell r="D521" t="str">
            <v>无成分唛</v>
          </cell>
        </row>
        <row r="521">
          <cell r="G521" t="str">
            <v>JJN65813A</v>
          </cell>
          <cell r="H521">
            <v>46168</v>
          </cell>
        </row>
        <row r="522">
          <cell r="A522" t="str">
            <v>JYN64808</v>
          </cell>
          <cell r="B522">
            <v>46193</v>
          </cell>
          <cell r="C522" t="str">
            <v>已齐</v>
          </cell>
          <cell r="D522" t="str">
            <v>无成分唛</v>
          </cell>
        </row>
        <row r="522">
          <cell r="G522" t="str">
            <v>JJN65814</v>
          </cell>
          <cell r="H522">
            <v>46168</v>
          </cell>
        </row>
        <row r="523">
          <cell r="A523" t="str">
            <v>JYN64809</v>
          </cell>
          <cell r="B523">
            <v>46193</v>
          </cell>
          <cell r="C523" t="str">
            <v>已齐</v>
          </cell>
          <cell r="D523" t="str">
            <v>无成分唛</v>
          </cell>
        </row>
        <row r="523">
          <cell r="G523" t="str">
            <v>JJN65815</v>
          </cell>
          <cell r="H523">
            <v>46167</v>
          </cell>
        </row>
        <row r="524">
          <cell r="A524" t="str">
            <v>JJN65823</v>
          </cell>
          <cell r="B524">
            <v>46193</v>
          </cell>
          <cell r="C524" t="str">
            <v>已齐</v>
          </cell>
        </row>
        <row r="524">
          <cell r="G524" t="str">
            <v>JTG65806</v>
          </cell>
          <cell r="H524">
            <v>46167</v>
          </cell>
        </row>
        <row r="525">
          <cell r="A525" t="str">
            <v>JQG65805</v>
          </cell>
          <cell r="B525">
            <v>46195</v>
          </cell>
          <cell r="C525" t="str">
            <v>已齐</v>
          </cell>
          <cell r="D525" t="str">
            <v>无成分唛</v>
          </cell>
        </row>
        <row r="525">
          <cell r="G525" t="str">
            <v>JHB64832</v>
          </cell>
          <cell r="H525">
            <v>46173</v>
          </cell>
        </row>
        <row r="526">
          <cell r="A526" t="str">
            <v>JJG65602</v>
          </cell>
          <cell r="B526">
            <v>46195</v>
          </cell>
          <cell r="C526" t="str">
            <v>已齐</v>
          </cell>
        </row>
        <row r="526">
          <cell r="G526" t="str">
            <v>JYN64833</v>
          </cell>
          <cell r="H526">
            <v>46178</v>
          </cell>
        </row>
        <row r="527">
          <cell r="A527" t="str">
            <v>JQG63086</v>
          </cell>
          <cell r="B527">
            <v>46193</v>
          </cell>
          <cell r="C527" t="str">
            <v>已齐</v>
          </cell>
        </row>
        <row r="527">
          <cell r="G527" t="str">
            <v>JYG64835</v>
          </cell>
          <cell r="H527">
            <v>46177</v>
          </cell>
        </row>
        <row r="528">
          <cell r="A528" t="str">
            <v>JEG63098</v>
          </cell>
          <cell r="B528">
            <v>46195</v>
          </cell>
          <cell r="C528" t="str">
            <v>已齐</v>
          </cell>
          <cell r="D528" t="str">
            <v>无成分唛</v>
          </cell>
        </row>
        <row r="528">
          <cell r="G528" t="str">
            <v>JMG63596</v>
          </cell>
          <cell r="H528">
            <v>46163</v>
          </cell>
        </row>
        <row r="529">
          <cell r="A529" t="str">
            <v>JEG63099</v>
          </cell>
          <cell r="B529">
            <v>46195</v>
          </cell>
          <cell r="C529" t="str">
            <v>已齐</v>
          </cell>
        </row>
        <row r="529">
          <cell r="G529" t="str">
            <v>JTG63374</v>
          </cell>
          <cell r="H529">
            <v>46171</v>
          </cell>
        </row>
        <row r="530">
          <cell r="A530" t="str">
            <v>JJN65812</v>
          </cell>
          <cell r="B530">
            <v>46195</v>
          </cell>
          <cell r="C530" t="str">
            <v>已齐</v>
          </cell>
        </row>
        <row r="530">
          <cell r="G530" t="str">
            <v>JTG63375</v>
          </cell>
          <cell r="H530">
            <v>46173</v>
          </cell>
        </row>
        <row r="531">
          <cell r="A531" t="str">
            <v>JJN65813A</v>
          </cell>
          <cell r="B531">
            <v>46195</v>
          </cell>
          <cell r="C531" t="str">
            <v>已齐</v>
          </cell>
        </row>
        <row r="531">
          <cell r="G531" t="str">
            <v>JGG63376</v>
          </cell>
          <cell r="H531">
            <v>46168</v>
          </cell>
        </row>
        <row r="532">
          <cell r="A532" t="str">
            <v>JJN65813B</v>
          </cell>
          <cell r="B532">
            <v>46195</v>
          </cell>
          <cell r="C532" t="str">
            <v>已齐</v>
          </cell>
        </row>
        <row r="532">
          <cell r="G532" t="str">
            <v>JGG63377</v>
          </cell>
          <cell r="H532">
            <v>46168</v>
          </cell>
        </row>
        <row r="533">
          <cell r="A533" t="str">
            <v>JJN65814</v>
          </cell>
          <cell r="B533">
            <v>46195</v>
          </cell>
          <cell r="C533" t="str">
            <v>已齐</v>
          </cell>
        </row>
        <row r="533">
          <cell r="G533" t="str">
            <v>JCG63378</v>
          </cell>
          <cell r="H533">
            <v>46168</v>
          </cell>
        </row>
        <row r="534">
          <cell r="A534" t="str">
            <v>JJN65815</v>
          </cell>
          <cell r="B534">
            <v>46195</v>
          </cell>
          <cell r="C534" t="str">
            <v>已齐</v>
          </cell>
        </row>
        <row r="534">
          <cell r="G534" t="str">
            <v>JLG63379</v>
          </cell>
          <cell r="H534">
            <v>46170</v>
          </cell>
        </row>
        <row r="535">
          <cell r="A535" t="str">
            <v>JRB63411</v>
          </cell>
          <cell r="B535">
            <v>46195</v>
          </cell>
          <cell r="C535" t="str">
            <v>已齐</v>
          </cell>
        </row>
        <row r="535">
          <cell r="G535" t="str">
            <v>JLG63380</v>
          </cell>
          <cell r="H535">
            <v>46170</v>
          </cell>
        </row>
        <row r="536">
          <cell r="A536" t="str">
            <v>JRB63412</v>
          </cell>
          <cell r="B536">
            <v>46195</v>
          </cell>
          <cell r="C536" t="str">
            <v>已齐</v>
          </cell>
        </row>
        <row r="536">
          <cell r="G536" t="str">
            <v>JQG63382</v>
          </cell>
          <cell r="H536">
            <v>46170</v>
          </cell>
        </row>
        <row r="537">
          <cell r="A537" t="str">
            <v>JTN63418</v>
          </cell>
          <cell r="B537">
            <v>46195</v>
          </cell>
          <cell r="C537" t="str">
            <v>已齐</v>
          </cell>
          <cell r="D537" t="str">
            <v>无成分唛</v>
          </cell>
        </row>
        <row r="537">
          <cell r="G537" t="str">
            <v>JDG63383</v>
          </cell>
          <cell r="H537">
            <v>46171</v>
          </cell>
        </row>
        <row r="538">
          <cell r="A538" t="str">
            <v>JKB63414</v>
          </cell>
          <cell r="B538">
            <v>46195</v>
          </cell>
          <cell r="C538" t="str">
            <v>已齐</v>
          </cell>
        </row>
        <row r="538">
          <cell r="G538" t="str">
            <v>JDG63384</v>
          </cell>
          <cell r="H538">
            <v>46170</v>
          </cell>
        </row>
        <row r="539">
          <cell r="A539" t="str">
            <v>JKB63101</v>
          </cell>
          <cell r="B539">
            <v>46195</v>
          </cell>
          <cell r="C539" t="str">
            <v>已齐</v>
          </cell>
        </row>
        <row r="539">
          <cell r="G539" t="str">
            <v>JDG63385</v>
          </cell>
          <cell r="H539">
            <v>46171</v>
          </cell>
        </row>
        <row r="540">
          <cell r="A540" t="str">
            <v>JXG63103</v>
          </cell>
          <cell r="B540">
            <v>46195</v>
          </cell>
          <cell r="C540" t="str">
            <v>已齐</v>
          </cell>
        </row>
        <row r="540">
          <cell r="G540" t="str">
            <v>JKB63386</v>
          </cell>
          <cell r="H540">
            <v>46170</v>
          </cell>
        </row>
        <row r="541">
          <cell r="A541" t="str">
            <v>JXB63109</v>
          </cell>
          <cell r="B541">
            <v>46195</v>
          </cell>
          <cell r="C541" t="str">
            <v>已齐</v>
          </cell>
        </row>
        <row r="541">
          <cell r="G541" t="str">
            <v>JQG63405</v>
          </cell>
          <cell r="H541">
            <v>46173</v>
          </cell>
        </row>
        <row r="542">
          <cell r="A542" t="str">
            <v>JRG63110</v>
          </cell>
          <cell r="B542">
            <v>46195</v>
          </cell>
          <cell r="C542" t="str">
            <v>已齐</v>
          </cell>
        </row>
        <row r="542">
          <cell r="G542" t="str">
            <v>JQG63406</v>
          </cell>
          <cell r="H542">
            <v>46173</v>
          </cell>
        </row>
        <row r="543">
          <cell r="A543" t="str">
            <v>JXG63392</v>
          </cell>
          <cell r="B543">
            <v>46195</v>
          </cell>
          <cell r="C543" t="str">
            <v>已齐</v>
          </cell>
        </row>
        <row r="543">
          <cell r="G543" t="str">
            <v>JHB63407</v>
          </cell>
          <cell r="H543">
            <v>46173</v>
          </cell>
        </row>
        <row r="544">
          <cell r="A544" t="str">
            <v>JTN63395</v>
          </cell>
          <cell r="B544">
            <v>46195</v>
          </cell>
          <cell r="C544" t="str">
            <v>已齐</v>
          </cell>
        </row>
        <row r="544">
          <cell r="G544" t="str">
            <v>JHB63408</v>
          </cell>
          <cell r="H544">
            <v>46168</v>
          </cell>
        </row>
        <row r="545">
          <cell r="A545" t="str">
            <v>JJG63399</v>
          </cell>
          <cell r="B545">
            <v>46195</v>
          </cell>
          <cell r="C545" t="str">
            <v>已齐</v>
          </cell>
        </row>
        <row r="545">
          <cell r="G545" t="str">
            <v>JHB63409</v>
          </cell>
          <cell r="H545">
            <v>46173</v>
          </cell>
        </row>
        <row r="546">
          <cell r="A546" t="str">
            <v>JXG63429</v>
          </cell>
          <cell r="B546">
            <v>46195</v>
          </cell>
          <cell r="C546" t="str">
            <v>已齐</v>
          </cell>
        </row>
        <row r="546">
          <cell r="G546" t="str">
            <v>JXB63410</v>
          </cell>
          <cell r="H546">
            <v>46170</v>
          </cell>
        </row>
        <row r="547">
          <cell r="A547" t="str">
            <v>JYN64826</v>
          </cell>
          <cell r="B547">
            <v>46195</v>
          </cell>
          <cell r="C547" t="str">
            <v>已齐</v>
          </cell>
          <cell r="D547" t="str">
            <v>无成分唛</v>
          </cell>
        </row>
        <row r="547">
          <cell r="G547" t="str">
            <v>JRB63411</v>
          </cell>
          <cell r="H547">
            <v>46170</v>
          </cell>
        </row>
        <row r="548">
          <cell r="A548" t="str">
            <v>JLG63342</v>
          </cell>
          <cell r="B548">
            <v>46195</v>
          </cell>
          <cell r="C548" t="str">
            <v>已齐</v>
          </cell>
          <cell r="D548" t="str">
            <v>无成分唛</v>
          </cell>
        </row>
        <row r="548">
          <cell r="G548" t="str">
            <v>JRB63412</v>
          </cell>
          <cell r="H548">
            <v>46170</v>
          </cell>
        </row>
        <row r="549">
          <cell r="A549" t="str">
            <v>JDG63122</v>
          </cell>
          <cell r="B549">
            <v>46195</v>
          </cell>
          <cell r="C549" t="str">
            <v>已齐</v>
          </cell>
        </row>
        <row r="549">
          <cell r="G549" t="str">
            <v>JTN63419</v>
          </cell>
          <cell r="H549">
            <v>46171</v>
          </cell>
        </row>
        <row r="550">
          <cell r="A550" t="str">
            <v>JDG63123</v>
          </cell>
          <cell r="B550">
            <v>46195</v>
          </cell>
          <cell r="C550" t="str">
            <v>已齐</v>
          </cell>
        </row>
        <row r="550">
          <cell r="G550" t="str">
            <v>JTN63418</v>
          </cell>
          <cell r="H550">
            <v>46171</v>
          </cell>
        </row>
        <row r="551">
          <cell r="A551" t="str">
            <v>JQG63899</v>
          </cell>
          <cell r="B551">
            <v>46193</v>
          </cell>
          <cell r="C551" t="str">
            <v>已齐</v>
          </cell>
          <cell r="D551" t="str">
            <v>无成分唛</v>
          </cell>
        </row>
        <row r="551">
          <cell r="G551" t="str">
            <v>JTB63417</v>
          </cell>
          <cell r="H551">
            <v>46173</v>
          </cell>
        </row>
        <row r="552">
          <cell r="A552" t="str">
            <v>JQG63900</v>
          </cell>
          <cell r="B552">
            <v>46197</v>
          </cell>
          <cell r="C552" t="str">
            <v>已齐</v>
          </cell>
        </row>
        <row r="552">
          <cell r="G552" t="str">
            <v>JLG63416</v>
          </cell>
          <cell r="H552">
            <v>46171</v>
          </cell>
        </row>
        <row r="553">
          <cell r="A553" t="str">
            <v>JTG63374</v>
          </cell>
          <cell r="B553">
            <v>46197</v>
          </cell>
          <cell r="C553" t="str">
            <v>已齐</v>
          </cell>
        </row>
        <row r="553">
          <cell r="G553" t="str">
            <v>JKG63415</v>
          </cell>
          <cell r="H553">
            <v>46170</v>
          </cell>
        </row>
        <row r="554">
          <cell r="A554" t="str">
            <v>JHB63408</v>
          </cell>
          <cell r="B554">
            <v>46197</v>
          </cell>
          <cell r="C554" t="str">
            <v>已齐</v>
          </cell>
        </row>
        <row r="554">
          <cell r="G554" t="str">
            <v>JKB63414</v>
          </cell>
          <cell r="H554">
            <v>46170</v>
          </cell>
        </row>
        <row r="555">
          <cell r="A555" t="str">
            <v>JTN63419</v>
          </cell>
          <cell r="B555">
            <v>46197</v>
          </cell>
          <cell r="C555" t="str">
            <v>已齐</v>
          </cell>
        </row>
        <row r="555">
          <cell r="G555" t="str">
            <v>JKB63101</v>
          </cell>
          <cell r="H555">
            <v>46170</v>
          </cell>
        </row>
        <row r="556">
          <cell r="A556" t="str">
            <v>JTG63104</v>
          </cell>
          <cell r="B556">
            <v>46197</v>
          </cell>
          <cell r="C556" t="str">
            <v>已齐</v>
          </cell>
        </row>
        <row r="556">
          <cell r="G556" t="str">
            <v>JLB63102</v>
          </cell>
          <cell r="H556">
            <v>46170</v>
          </cell>
        </row>
        <row r="557">
          <cell r="A557" t="str">
            <v>JRG63105</v>
          </cell>
          <cell r="B557">
            <v>46195</v>
          </cell>
          <cell r="C557" t="str">
            <v>已齐</v>
          </cell>
        </row>
        <row r="557">
          <cell r="G557" t="str">
            <v>JXG63103</v>
          </cell>
          <cell r="H557">
            <v>46170</v>
          </cell>
        </row>
        <row r="558">
          <cell r="A558" t="str">
            <v>JQG63673</v>
          </cell>
          <cell r="B558">
            <v>46197</v>
          </cell>
          <cell r="C558" t="str">
            <v>已齐</v>
          </cell>
        </row>
        <row r="558">
          <cell r="G558" t="str">
            <v>JTG63104</v>
          </cell>
          <cell r="H558">
            <v>46168</v>
          </cell>
        </row>
        <row r="559">
          <cell r="A559" t="str">
            <v>JJG63908</v>
          </cell>
          <cell r="B559">
            <v>46197</v>
          </cell>
          <cell r="C559" t="str">
            <v>已齐</v>
          </cell>
        </row>
        <row r="559">
          <cell r="G559" t="str">
            <v>JRG63105</v>
          </cell>
          <cell r="H559">
            <v>46170</v>
          </cell>
        </row>
        <row r="560">
          <cell r="A560" t="str">
            <v>JRG63117</v>
          </cell>
          <cell r="B560">
            <v>46197</v>
          </cell>
          <cell r="C560" t="str">
            <v>已齐</v>
          </cell>
        </row>
        <row r="560">
          <cell r="G560" t="str">
            <v>JRG63106</v>
          </cell>
          <cell r="H560">
            <v>46171</v>
          </cell>
        </row>
        <row r="561">
          <cell r="A561" t="str">
            <v>JRG63918</v>
          </cell>
          <cell r="B561">
            <v>46197</v>
          </cell>
          <cell r="C561" t="str">
            <v>已齐</v>
          </cell>
        </row>
        <row r="561">
          <cell r="G561" t="str">
            <v>JJG63107</v>
          </cell>
          <cell r="H561">
            <v>46173</v>
          </cell>
        </row>
        <row r="562">
          <cell r="A562" t="str">
            <v>JRG63387</v>
          </cell>
          <cell r="B562">
            <v>46197</v>
          </cell>
          <cell r="C562" t="str">
            <v>已齐</v>
          </cell>
        </row>
        <row r="562">
          <cell r="G562" t="str">
            <v>JTB63108</v>
          </cell>
          <cell r="H562">
            <v>46173</v>
          </cell>
        </row>
        <row r="563">
          <cell r="A563" t="str">
            <v>JRG63388</v>
          </cell>
          <cell r="B563">
            <v>46197</v>
          </cell>
          <cell r="C563" t="str">
            <v>已齐</v>
          </cell>
        </row>
        <row r="563">
          <cell r="G563" t="str">
            <v>JXB63109</v>
          </cell>
          <cell r="H563">
            <v>46170</v>
          </cell>
        </row>
        <row r="564">
          <cell r="A564" t="str">
            <v>JRB63391</v>
          </cell>
          <cell r="B564">
            <v>46197</v>
          </cell>
          <cell r="C564" t="str">
            <v>已齐</v>
          </cell>
        </row>
        <row r="564">
          <cell r="G564" t="str">
            <v>JRG63110</v>
          </cell>
          <cell r="H564">
            <v>46170</v>
          </cell>
        </row>
        <row r="565">
          <cell r="A565" t="str">
            <v>JTG63394</v>
          </cell>
          <cell r="B565">
            <v>46197</v>
          </cell>
          <cell r="C565" t="str">
            <v>已齐</v>
          </cell>
        </row>
        <row r="565">
          <cell r="G565" t="str">
            <v>JDG63111</v>
          </cell>
          <cell r="H565">
            <v>46170</v>
          </cell>
        </row>
        <row r="566">
          <cell r="A566" t="str">
            <v>JKN63397</v>
          </cell>
          <cell r="B566">
            <v>46197</v>
          </cell>
          <cell r="C566" t="str">
            <v>已齐</v>
          </cell>
        </row>
        <row r="566">
          <cell r="G566" t="str">
            <v>JAB64006</v>
          </cell>
          <cell r="H566">
            <v>46181</v>
          </cell>
        </row>
        <row r="567">
          <cell r="A567" t="str">
            <v>JTG63421</v>
          </cell>
          <cell r="B567">
            <v>46197</v>
          </cell>
          <cell r="C567" t="str">
            <v>已齐</v>
          </cell>
        </row>
        <row r="567">
          <cell r="G567" t="str">
            <v>JQG63904</v>
          </cell>
          <cell r="H567">
            <v>46178</v>
          </cell>
        </row>
        <row r="568">
          <cell r="A568" t="str">
            <v>JHG63422</v>
          </cell>
          <cell r="B568">
            <v>46197</v>
          </cell>
          <cell r="C568" t="str">
            <v>已齐</v>
          </cell>
        </row>
        <row r="568">
          <cell r="G568" t="str">
            <v>JQG63905</v>
          </cell>
          <cell r="H568">
            <v>46173</v>
          </cell>
        </row>
        <row r="569">
          <cell r="A569" t="str">
            <v>JTN63348</v>
          </cell>
          <cell r="B569">
            <v>46197</v>
          </cell>
          <cell r="C569" t="str">
            <v>已齐</v>
          </cell>
        </row>
        <row r="569">
          <cell r="G569" t="str">
            <v>JQG63906</v>
          </cell>
          <cell r="H569">
            <v>46173</v>
          </cell>
        </row>
        <row r="570">
          <cell r="A570" t="str">
            <v>JJG63423</v>
          </cell>
          <cell r="B570">
            <v>46197</v>
          </cell>
          <cell r="C570" t="str">
            <v>已齐</v>
          </cell>
        </row>
        <row r="570">
          <cell r="G570" t="str">
            <v>JRN63907</v>
          </cell>
          <cell r="H570">
            <v>46171</v>
          </cell>
        </row>
        <row r="571">
          <cell r="A571" t="str">
            <v>JYN64601</v>
          </cell>
          <cell r="B571">
            <v>46197</v>
          </cell>
          <cell r="C571" t="str">
            <v>已齐</v>
          </cell>
        </row>
        <row r="571">
          <cell r="G571" t="str">
            <v>JXG63909</v>
          </cell>
          <cell r="H571">
            <v>46171</v>
          </cell>
        </row>
        <row r="572">
          <cell r="A572" t="str">
            <v>JJN65824A</v>
          </cell>
          <cell r="B572">
            <v>46197</v>
          </cell>
          <cell r="C572" t="str">
            <v>已齐</v>
          </cell>
        </row>
        <row r="572">
          <cell r="G572" t="str">
            <v>JJG63910</v>
          </cell>
          <cell r="H572">
            <v>46171</v>
          </cell>
        </row>
        <row r="573">
          <cell r="A573" t="str">
            <v>JJN65824B</v>
          </cell>
          <cell r="B573">
            <v>46197</v>
          </cell>
          <cell r="C573" t="str">
            <v>已齐</v>
          </cell>
        </row>
        <row r="573">
          <cell r="G573" t="str">
            <v>JTG63911</v>
          </cell>
          <cell r="H573">
            <v>46173</v>
          </cell>
        </row>
        <row r="574">
          <cell r="A574" t="str">
            <v>JJN65821</v>
          </cell>
          <cell r="B574">
            <v>46197</v>
          </cell>
          <cell r="C574" t="str">
            <v>已齐</v>
          </cell>
        </row>
        <row r="574">
          <cell r="G574" t="str">
            <v>JXG63912</v>
          </cell>
          <cell r="H574">
            <v>46170</v>
          </cell>
        </row>
        <row r="575">
          <cell r="A575" t="str">
            <v>JXG63346</v>
          </cell>
          <cell r="B575">
            <v>46197</v>
          </cell>
          <cell r="C575" t="str">
            <v>已齐</v>
          </cell>
        </row>
        <row r="575">
          <cell r="G575" t="str">
            <v>JTG63913</v>
          </cell>
          <cell r="H575">
            <v>46173</v>
          </cell>
        </row>
        <row r="576">
          <cell r="A576" t="str">
            <v>JXN63345</v>
          </cell>
          <cell r="B576">
            <v>46197</v>
          </cell>
          <cell r="C576" t="str">
            <v>已齐</v>
          </cell>
        </row>
        <row r="576">
          <cell r="G576" t="str">
            <v>JAG64841</v>
          </cell>
          <cell r="H576">
            <v>46172</v>
          </cell>
        </row>
        <row r="577">
          <cell r="A577" t="str">
            <v>JDG63344</v>
          </cell>
          <cell r="B577">
            <v>46197</v>
          </cell>
          <cell r="C577" t="str">
            <v>已齐</v>
          </cell>
        </row>
        <row r="577">
          <cell r="G577" t="str">
            <v>JQG63673</v>
          </cell>
          <cell r="H577">
            <v>46173</v>
          </cell>
        </row>
        <row r="578">
          <cell r="A578" t="str">
            <v>JDG63343</v>
          </cell>
          <cell r="B578">
            <v>46197</v>
          </cell>
          <cell r="C578" t="str">
            <v>已齐</v>
          </cell>
        </row>
        <row r="578">
          <cell r="G578" t="str">
            <v>JJG63908</v>
          </cell>
          <cell r="H578">
            <v>46167</v>
          </cell>
        </row>
        <row r="579">
          <cell r="A579" t="str">
            <v>JAG64820</v>
          </cell>
          <cell r="B579">
            <v>46199</v>
          </cell>
          <cell r="C579" t="str">
            <v>已齐</v>
          </cell>
          <cell r="D579" t="str">
            <v>无成分唛</v>
          </cell>
        </row>
        <row r="579">
          <cell r="G579" t="str">
            <v>JYN64837</v>
          </cell>
          <cell r="H579">
            <v>46183</v>
          </cell>
        </row>
        <row r="580">
          <cell r="A580" t="str">
            <v>JQG63489</v>
          </cell>
          <cell r="B580">
            <v>46199</v>
          </cell>
          <cell r="C580" t="str">
            <v>已齐</v>
          </cell>
          <cell r="D580" t="str">
            <v>外套无成分唛
</v>
          </cell>
        </row>
        <row r="580">
          <cell r="G580" t="str">
            <v>JYG64838</v>
          </cell>
          <cell r="H580">
            <v>46183</v>
          </cell>
        </row>
        <row r="581">
          <cell r="A581" t="str">
            <v>JJG65603</v>
          </cell>
          <cell r="B581">
            <v>46199</v>
          </cell>
          <cell r="C581" t="str">
            <v>已齐</v>
          </cell>
        </row>
        <row r="581">
          <cell r="G581" t="str">
            <v>JYG64839</v>
          </cell>
          <cell r="H581">
            <v>46189</v>
          </cell>
        </row>
        <row r="582">
          <cell r="A582" t="str">
            <v>JQG63866</v>
          </cell>
          <cell r="B582">
            <v>46199</v>
          </cell>
          <cell r="C582" t="str">
            <v>已齐</v>
          </cell>
          <cell r="D582" t="str">
            <v>无成分唛</v>
          </cell>
        </row>
        <row r="582">
          <cell r="G582" t="str">
            <v>JYG64840</v>
          </cell>
          <cell r="H582">
            <v>46189</v>
          </cell>
        </row>
        <row r="583">
          <cell r="A583" t="str">
            <v>JQG63901</v>
          </cell>
          <cell r="B583">
            <v>46199</v>
          </cell>
          <cell r="C583" t="str">
            <v>已齐</v>
          </cell>
        </row>
        <row r="583">
          <cell r="G583" t="str">
            <v>JYG64843</v>
          </cell>
          <cell r="H583">
            <v>46183</v>
          </cell>
        </row>
        <row r="584">
          <cell r="A584" t="str">
            <v>JTG63902</v>
          </cell>
          <cell r="B584">
            <v>46199</v>
          </cell>
          <cell r="C584" t="str">
            <v>已齐</v>
          </cell>
        </row>
        <row r="584">
          <cell r="G584" t="str">
            <v>JYG64844</v>
          </cell>
          <cell r="H584">
            <v>46189</v>
          </cell>
        </row>
        <row r="585">
          <cell r="A585" t="str">
            <v>JDG63385</v>
          </cell>
          <cell r="B585">
            <v>46199</v>
          </cell>
          <cell r="C585" t="str">
            <v>已齐</v>
          </cell>
        </row>
        <row r="585">
          <cell r="G585" t="str">
            <v>JXG63112</v>
          </cell>
          <cell r="H585">
            <v>46171</v>
          </cell>
        </row>
        <row r="586">
          <cell r="A586" t="str">
            <v>JRG63106</v>
          </cell>
          <cell r="B586">
            <v>46199</v>
          </cell>
          <cell r="C586" t="str">
            <v>已齐</v>
          </cell>
        </row>
        <row r="586">
          <cell r="G586" t="str">
            <v>JXG63113</v>
          </cell>
          <cell r="H586">
            <v>46167</v>
          </cell>
        </row>
        <row r="587">
          <cell r="A587" t="str">
            <v>JRN63907</v>
          </cell>
          <cell r="B587">
            <v>46199</v>
          </cell>
          <cell r="C587" t="str">
            <v>已齐</v>
          </cell>
        </row>
        <row r="587">
          <cell r="G587" t="str">
            <v>JRG63114</v>
          </cell>
          <cell r="H587">
            <v>46171</v>
          </cell>
        </row>
        <row r="588">
          <cell r="A588" t="str">
            <v>JXG63112</v>
          </cell>
          <cell r="B588">
            <v>46199</v>
          </cell>
          <cell r="C588" t="str">
            <v>已齐</v>
          </cell>
        </row>
        <row r="588">
          <cell r="G588" t="str">
            <v>JRG63117</v>
          </cell>
          <cell r="H588">
            <v>46171</v>
          </cell>
        </row>
        <row r="589">
          <cell r="A589" t="str">
            <v>JRG63120</v>
          </cell>
          <cell r="B589">
            <v>46199</v>
          </cell>
          <cell r="C589" t="str">
            <v>已齐</v>
          </cell>
        </row>
        <row r="589">
          <cell r="G589" t="str">
            <v>JTG63118</v>
          </cell>
          <cell r="H589">
            <v>46173</v>
          </cell>
        </row>
        <row r="590">
          <cell r="A590" t="str">
            <v>JHG63121</v>
          </cell>
          <cell r="B590">
            <v>46199</v>
          </cell>
          <cell r="C590" t="str">
            <v>已齐</v>
          </cell>
        </row>
        <row r="590">
          <cell r="G590" t="str">
            <v>JRG63120</v>
          </cell>
          <cell r="H590">
            <v>46171</v>
          </cell>
        </row>
        <row r="591">
          <cell r="A591" t="str">
            <v>JTG63917</v>
          </cell>
          <cell r="B591">
            <v>46199</v>
          </cell>
          <cell r="C591" t="str">
            <v>已齐</v>
          </cell>
        </row>
        <row r="591">
          <cell r="G591" t="str">
            <v>JHG63121</v>
          </cell>
          <cell r="H591">
            <v>46168</v>
          </cell>
        </row>
        <row r="592">
          <cell r="A592" t="str">
            <v>JQG63922</v>
          </cell>
          <cell r="B592">
            <v>46199</v>
          </cell>
          <cell r="C592" t="str">
            <v>已齐</v>
          </cell>
          <cell r="D592" t="str">
            <v>无成分唛</v>
          </cell>
        </row>
        <row r="592">
          <cell r="G592" t="str">
            <v>JJN65010</v>
          </cell>
          <cell r="H592">
            <v>46181</v>
          </cell>
        </row>
        <row r="593">
          <cell r="A593" t="str">
            <v>JRG63389</v>
          </cell>
          <cell r="B593">
            <v>46199</v>
          </cell>
          <cell r="C593" t="str">
            <v>已齐</v>
          </cell>
        </row>
        <row r="593">
          <cell r="G593" t="str">
            <v>JTG65011</v>
          </cell>
          <cell r="H593">
            <v>46181</v>
          </cell>
        </row>
        <row r="594">
          <cell r="A594" t="str">
            <v>JXN63393</v>
          </cell>
          <cell r="B594">
            <v>46199</v>
          </cell>
          <cell r="C594" t="str">
            <v>已齐</v>
          </cell>
        </row>
        <row r="594">
          <cell r="G594" t="str">
            <v>JCB63914</v>
          </cell>
          <cell r="H594">
            <v>46173</v>
          </cell>
        </row>
        <row r="595">
          <cell r="A595" t="str">
            <v>JKG63396</v>
          </cell>
          <cell r="B595">
            <v>46199</v>
          </cell>
          <cell r="C595" t="str">
            <v>已齐</v>
          </cell>
        </row>
        <row r="595">
          <cell r="G595" t="str">
            <v>JQG63915</v>
          </cell>
          <cell r="H595">
            <v>46178</v>
          </cell>
        </row>
        <row r="596">
          <cell r="A596" t="str">
            <v>JRN63425</v>
          </cell>
          <cell r="B596">
            <v>46199</v>
          </cell>
          <cell r="C596" t="str">
            <v>已齐</v>
          </cell>
        </row>
        <row r="596">
          <cell r="G596" t="str">
            <v>JQG63916</v>
          </cell>
          <cell r="H596">
            <v>46173</v>
          </cell>
        </row>
        <row r="597">
          <cell r="A597" t="str">
            <v>JYG64807</v>
          </cell>
          <cell r="B597">
            <v>46199</v>
          </cell>
          <cell r="C597" t="str">
            <v>已齐</v>
          </cell>
          <cell r="D597" t="str">
            <v>无成分唛</v>
          </cell>
        </row>
        <row r="597">
          <cell r="G597" t="str">
            <v>JTG63917</v>
          </cell>
          <cell r="H597">
            <v>46168</v>
          </cell>
        </row>
        <row r="598">
          <cell r="A598" t="str">
            <v>JYG64827</v>
          </cell>
          <cell r="B598">
            <v>46199</v>
          </cell>
          <cell r="C598" t="str">
            <v>已齐</v>
          </cell>
          <cell r="D598" t="str">
            <v>无成分唛</v>
          </cell>
        </row>
        <row r="598">
          <cell r="G598" t="str">
            <v>JRG63918</v>
          </cell>
          <cell r="H598">
            <v>46171</v>
          </cell>
        </row>
        <row r="599">
          <cell r="A599" t="str">
            <v>JXG63347</v>
          </cell>
          <cell r="B599">
            <v>46199</v>
          </cell>
          <cell r="C599" t="str">
            <v>已齐</v>
          </cell>
        </row>
        <row r="599">
          <cell r="G599" t="str">
            <v>JQG63919</v>
          </cell>
          <cell r="H599">
            <v>46178</v>
          </cell>
        </row>
        <row r="600">
          <cell r="A600" t="str">
            <v>JZG63431</v>
          </cell>
          <cell r="B600">
            <v>46199</v>
          </cell>
          <cell r="C600" t="str">
            <v>已齐</v>
          </cell>
        </row>
        <row r="600">
          <cell r="G600" t="str">
            <v>JJG65817</v>
          </cell>
          <cell r="H600">
            <v>46184</v>
          </cell>
        </row>
        <row r="601">
          <cell r="A601" t="str">
            <v>JTG63926</v>
          </cell>
          <cell r="B601">
            <v>46199</v>
          </cell>
          <cell r="C601" t="str">
            <v>已齐</v>
          </cell>
          <cell r="D601" t="str">
            <v>无成分唛</v>
          </cell>
        </row>
        <row r="601">
          <cell r="G601" t="str">
            <v>JQG65825</v>
          </cell>
          <cell r="H601">
            <v>46184</v>
          </cell>
        </row>
        <row r="602">
          <cell r="A602" t="str">
            <v>JAN64505</v>
          </cell>
          <cell r="B602">
            <v>46188</v>
          </cell>
          <cell r="C602" t="str">
            <v>已齐</v>
          </cell>
          <cell r="D602" t="str">
            <v>无成分唛</v>
          </cell>
        </row>
        <row r="602">
          <cell r="G602" t="str">
            <v>JRG65818</v>
          </cell>
          <cell r="H602">
            <v>46181</v>
          </cell>
        </row>
        <row r="603">
          <cell r="A603" t="str">
            <v>JJB65809</v>
          </cell>
          <cell r="B603">
            <v>46202</v>
          </cell>
          <cell r="C603" t="str">
            <v>已齐</v>
          </cell>
        </row>
        <row r="603">
          <cell r="G603" t="str">
            <v>JQG63922</v>
          </cell>
          <cell r="H603">
            <v>46181</v>
          </cell>
        </row>
        <row r="604">
          <cell r="A604" t="str">
            <v>JTG63375</v>
          </cell>
          <cell r="B604">
            <v>46202</v>
          </cell>
          <cell r="C604" t="str">
            <v>已齐</v>
          </cell>
        </row>
        <row r="604">
          <cell r="G604" t="str">
            <v>JGG64845</v>
          </cell>
          <cell r="H604">
            <v>46172</v>
          </cell>
        </row>
        <row r="605">
          <cell r="A605" t="str">
            <v>JQG63405</v>
          </cell>
          <cell r="B605">
            <v>46202</v>
          </cell>
          <cell r="C605" t="str">
            <v>已齐</v>
          </cell>
        </row>
        <row r="605">
          <cell r="G605" t="str">
            <v>JYG64846</v>
          </cell>
          <cell r="H605">
            <v>46185</v>
          </cell>
        </row>
        <row r="606">
          <cell r="A606" t="str">
            <v>JQG63406</v>
          </cell>
          <cell r="B606">
            <v>46202</v>
          </cell>
          <cell r="C606" t="str">
            <v>已齐</v>
          </cell>
        </row>
        <row r="606">
          <cell r="G606" t="str">
            <v>JHG64847</v>
          </cell>
          <cell r="H606">
            <v>46181</v>
          </cell>
        </row>
        <row r="607">
          <cell r="A607" t="str">
            <v>JHB63407</v>
          </cell>
          <cell r="B607">
            <v>46202</v>
          </cell>
          <cell r="C607" t="str">
            <v>已齐</v>
          </cell>
        </row>
        <row r="607">
          <cell r="G607" t="str">
            <v>JYN64848</v>
          </cell>
          <cell r="H607">
            <v>46183</v>
          </cell>
        </row>
        <row r="608">
          <cell r="A608" t="str">
            <v>JHB63409</v>
          </cell>
          <cell r="B608">
            <v>46202</v>
          </cell>
          <cell r="C608" t="str">
            <v>已齐</v>
          </cell>
        </row>
        <row r="608">
          <cell r="G608" t="str">
            <v>JRG63387</v>
          </cell>
          <cell r="H608">
            <v>46170</v>
          </cell>
        </row>
        <row r="609">
          <cell r="A609" t="str">
            <v>JTB63417</v>
          </cell>
          <cell r="B609">
            <v>46202</v>
          </cell>
          <cell r="C609" t="str">
            <v>已齐</v>
          </cell>
        </row>
        <row r="609">
          <cell r="G609" t="str">
            <v>JRG63388</v>
          </cell>
          <cell r="H609">
            <v>46170</v>
          </cell>
        </row>
        <row r="610">
          <cell r="A610" t="str">
            <v>JJG63107</v>
          </cell>
          <cell r="B610">
            <v>46202</v>
          </cell>
          <cell r="C610" t="str">
            <v>已齐</v>
          </cell>
          <cell r="D610" t="str">
            <v>无成分唛</v>
          </cell>
        </row>
        <row r="610">
          <cell r="G610" t="str">
            <v>JRG63389</v>
          </cell>
          <cell r="H610">
            <v>46170</v>
          </cell>
        </row>
        <row r="611">
          <cell r="A611" t="str">
            <v>JTB63108</v>
          </cell>
          <cell r="B611">
            <v>46202</v>
          </cell>
          <cell r="C611" t="str">
            <v>已齐</v>
          </cell>
          <cell r="D611" t="str">
            <v>无成分唛</v>
          </cell>
        </row>
        <row r="611">
          <cell r="G611" t="str">
            <v>JRB63391</v>
          </cell>
          <cell r="H611">
            <v>46170</v>
          </cell>
        </row>
        <row r="612">
          <cell r="A612" t="str">
            <v>JQG63905</v>
          </cell>
          <cell r="B612">
            <v>46202</v>
          </cell>
          <cell r="C612" t="str">
            <v>已齐</v>
          </cell>
          <cell r="D612" t="str">
            <v>无成分唛</v>
          </cell>
        </row>
        <row r="612">
          <cell r="G612" t="str">
            <v>JXG63392</v>
          </cell>
          <cell r="H612">
            <v>46171</v>
          </cell>
        </row>
        <row r="613">
          <cell r="A613" t="str">
            <v>JQG63906</v>
          </cell>
          <cell r="B613">
            <v>46202</v>
          </cell>
          <cell r="C613" t="str">
            <v>已齐</v>
          </cell>
          <cell r="D613" t="str">
            <v>无成分唛</v>
          </cell>
        </row>
        <row r="613">
          <cell r="G613" t="str">
            <v>JXN63393</v>
          </cell>
          <cell r="H613">
            <v>46171</v>
          </cell>
        </row>
        <row r="614">
          <cell r="A614" t="str">
            <v>JTG63913</v>
          </cell>
          <cell r="B614">
            <v>46202</v>
          </cell>
          <cell r="C614" t="str">
            <v>已齐</v>
          </cell>
        </row>
        <row r="614">
          <cell r="G614" t="str">
            <v>JTG63394</v>
          </cell>
          <cell r="H614">
            <v>46173</v>
          </cell>
        </row>
        <row r="615">
          <cell r="A615" t="str">
            <v>JTG63118</v>
          </cell>
          <cell r="B615">
            <v>46202</v>
          </cell>
          <cell r="C615" t="str">
            <v>已齐</v>
          </cell>
        </row>
        <row r="615">
          <cell r="G615" t="str">
            <v>JTN63395</v>
          </cell>
          <cell r="H615">
            <v>46173</v>
          </cell>
        </row>
        <row r="616">
          <cell r="A616" t="str">
            <v>JCB63914</v>
          </cell>
          <cell r="B616">
            <v>46202</v>
          </cell>
          <cell r="C616" t="str">
            <v>已齐</v>
          </cell>
        </row>
        <row r="616">
          <cell r="G616" t="str">
            <v>JKG63396</v>
          </cell>
          <cell r="H616">
            <v>46170</v>
          </cell>
        </row>
        <row r="617">
          <cell r="A617" t="str">
            <v>JQG63916</v>
          </cell>
          <cell r="B617">
            <v>46202</v>
          </cell>
          <cell r="C617" t="str">
            <v>已齐</v>
          </cell>
          <cell r="D617" t="str">
            <v>无成分唛</v>
          </cell>
        </row>
        <row r="617">
          <cell r="G617" t="str">
            <v>JKN63397</v>
          </cell>
          <cell r="H617">
            <v>46171</v>
          </cell>
        </row>
        <row r="618">
          <cell r="A618" t="str">
            <v>JQG63919</v>
          </cell>
          <cell r="B618">
            <v>46202</v>
          </cell>
          <cell r="C618" t="str">
            <v>已齐</v>
          </cell>
          <cell r="D618" t="str">
            <v>无成分唛
</v>
          </cell>
        </row>
        <row r="618">
          <cell r="G618" t="str">
            <v>JJG63399</v>
          </cell>
          <cell r="H618">
            <v>46168</v>
          </cell>
        </row>
        <row r="619">
          <cell r="A619" t="str">
            <v>JLG63381</v>
          </cell>
          <cell r="B619">
            <v>46202</v>
          </cell>
          <cell r="C619" t="str">
            <v>已齐</v>
          </cell>
          <cell r="D619" t="str">
            <v>浅色无成分唛</v>
          </cell>
        </row>
        <row r="619">
          <cell r="G619" t="str">
            <v>JGG63349</v>
          </cell>
          <cell r="H619">
            <v>46168</v>
          </cell>
        </row>
        <row r="620">
          <cell r="A620" t="str">
            <v>JQG63430</v>
          </cell>
          <cell r="B620">
            <v>46202</v>
          </cell>
          <cell r="C620" t="str">
            <v>已齐</v>
          </cell>
        </row>
        <row r="620">
          <cell r="G620" t="str">
            <v>JYN64605</v>
          </cell>
          <cell r="H620">
            <v>46183</v>
          </cell>
        </row>
        <row r="621">
          <cell r="A621" t="str">
            <v>JJB63433</v>
          </cell>
          <cell r="B621">
            <v>46202</v>
          </cell>
          <cell r="C621" t="str">
            <v>已齐</v>
          </cell>
        </row>
        <row r="621">
          <cell r="G621" t="str">
            <v>JMG63522</v>
          </cell>
          <cell r="H621">
            <v>46168</v>
          </cell>
        </row>
        <row r="622">
          <cell r="A622" t="str">
            <v>JTG63435</v>
          </cell>
          <cell r="B622">
            <v>46202</v>
          </cell>
          <cell r="C622" t="str">
            <v>已齐</v>
          </cell>
        </row>
        <row r="622">
          <cell r="G622" t="str">
            <v>JMG65511</v>
          </cell>
          <cell r="H622">
            <v>46181</v>
          </cell>
        </row>
        <row r="623">
          <cell r="A623" t="str">
            <v>JTG63436</v>
          </cell>
          <cell r="B623">
            <v>46202</v>
          </cell>
          <cell r="C623" t="str">
            <v>已齐</v>
          </cell>
        </row>
        <row r="623">
          <cell r="G623" t="str">
            <v>JTG65513</v>
          </cell>
          <cell r="H623">
            <v>46181</v>
          </cell>
        </row>
        <row r="624">
          <cell r="A624" t="str">
            <v>JTG63437</v>
          </cell>
          <cell r="B624">
            <v>46202</v>
          </cell>
          <cell r="C624" t="str">
            <v>已齐</v>
          </cell>
          <cell r="D624" t="str">
            <v>裤子无成分唛</v>
          </cell>
        </row>
        <row r="624">
          <cell r="G624" t="str">
            <v>JTG63421</v>
          </cell>
          <cell r="H624">
            <v>46168</v>
          </cell>
        </row>
        <row r="625">
          <cell r="A625" t="str">
            <v>JYN64007</v>
          </cell>
          <cell r="B625">
            <v>46202</v>
          </cell>
          <cell r="C625" t="str">
            <v>欠咖色</v>
          </cell>
          <cell r="D625" t="str">
            <v>无成分唛</v>
          </cell>
        </row>
        <row r="625">
          <cell r="G625" t="str">
            <v>JHG63422</v>
          </cell>
          <cell r="H625">
            <v>46168</v>
          </cell>
        </row>
        <row r="626">
          <cell r="A626" t="str">
            <v>JKG63124</v>
          </cell>
          <cell r="B626">
            <v>46202</v>
          </cell>
          <cell r="C626" t="str">
            <v>已齐</v>
          </cell>
        </row>
        <row r="626">
          <cell r="G626" t="str">
            <v>JXG63429</v>
          </cell>
          <cell r="H626">
            <v>46171</v>
          </cell>
        </row>
        <row r="627">
          <cell r="A627" t="str">
            <v>JQG63923</v>
          </cell>
          <cell r="B627">
            <v>46202</v>
          </cell>
          <cell r="C627" t="str">
            <v>已齐</v>
          </cell>
          <cell r="D627" t="str">
            <v>无成分唛</v>
          </cell>
        </row>
        <row r="627">
          <cell r="G627" t="str">
            <v>JRG63428</v>
          </cell>
          <cell r="H627">
            <v>46170</v>
          </cell>
        </row>
        <row r="628">
          <cell r="A628" t="str">
            <v>JHG63924</v>
          </cell>
          <cell r="B628">
            <v>46202</v>
          </cell>
          <cell r="C628" t="str">
            <v>已齐</v>
          </cell>
        </row>
        <row r="628">
          <cell r="G628" t="str">
            <v>JRG63427</v>
          </cell>
          <cell r="H628">
            <v>46170</v>
          </cell>
        </row>
        <row r="629">
          <cell r="A629" t="str">
            <v>JRG63925</v>
          </cell>
          <cell r="B629">
            <v>46202</v>
          </cell>
          <cell r="C629" t="str">
            <v>已齐</v>
          </cell>
        </row>
        <row r="629">
          <cell r="G629" t="str">
            <v>JRN63426</v>
          </cell>
          <cell r="H629">
            <v>46170</v>
          </cell>
        </row>
        <row r="630">
          <cell r="A630" t="str">
            <v>JYN64814B</v>
          </cell>
          <cell r="B630">
            <v>46202</v>
          </cell>
          <cell r="C630" t="str">
            <v>已齐</v>
          </cell>
          <cell r="D630" t="str">
            <v>无成分唛</v>
          </cell>
        </row>
        <row r="630">
          <cell r="G630" t="str">
            <v>JRN63425</v>
          </cell>
          <cell r="H630">
            <v>46170</v>
          </cell>
        </row>
        <row r="631">
          <cell r="A631" t="str">
            <v>JJG63337</v>
          </cell>
          <cell r="B631">
            <v>46202</v>
          </cell>
          <cell r="C631" t="str">
            <v>已齐</v>
          </cell>
        </row>
        <row r="631">
          <cell r="G631" t="str">
            <v>JKG65512</v>
          </cell>
          <cell r="H631">
            <v>46181</v>
          </cell>
        </row>
        <row r="632">
          <cell r="A632" t="str">
            <v>JKN63438A</v>
          </cell>
          <cell r="B632">
            <v>46202</v>
          </cell>
          <cell r="C632" t="str">
            <v>已齐</v>
          </cell>
        </row>
        <row r="632">
          <cell r="G632" t="str">
            <v>JAG64511</v>
          </cell>
          <cell r="H632">
            <v>46181</v>
          </cell>
        </row>
        <row r="633">
          <cell r="A633" t="str">
            <v>JKN63438B</v>
          </cell>
          <cell r="B633">
            <v>46202</v>
          </cell>
          <cell r="C633" t="str">
            <v>已齐</v>
          </cell>
          <cell r="D633" t="str">
            <v>无成分唛</v>
          </cell>
        </row>
        <row r="633">
          <cell r="G633" t="str">
            <v>JTN63348</v>
          </cell>
          <cell r="H633">
            <v>46168</v>
          </cell>
        </row>
        <row r="634">
          <cell r="A634" t="str">
            <v>JGG63349</v>
          </cell>
          <cell r="B634">
            <v>46203</v>
          </cell>
          <cell r="C634" t="str">
            <v>已齐</v>
          </cell>
        </row>
        <row r="634">
          <cell r="G634" t="str">
            <v>JJG63423</v>
          </cell>
          <cell r="H634">
            <v>46168</v>
          </cell>
        </row>
        <row r="635">
          <cell r="A635" t="str">
            <v>JHG63432</v>
          </cell>
          <cell r="B635">
            <v>46203</v>
          </cell>
          <cell r="C635" t="str">
            <v>已齐</v>
          </cell>
        </row>
        <row r="635">
          <cell r="G635" t="str">
            <v>JMG63359</v>
          </cell>
          <cell r="H635">
            <v>46168</v>
          </cell>
        </row>
        <row r="636">
          <cell r="A636" t="str">
            <v>JAB64830</v>
          </cell>
          <cell r="B636">
            <v>46206</v>
          </cell>
          <cell r="C636" t="str">
            <v>已齐</v>
          </cell>
          <cell r="D636" t="str">
            <v>无成分唛</v>
          </cell>
        </row>
        <row r="636">
          <cell r="G636" t="str">
            <v>JMG63689</v>
          </cell>
          <cell r="H636">
            <v>46168</v>
          </cell>
        </row>
        <row r="637">
          <cell r="A637" t="str">
            <v>JYN64824</v>
          </cell>
          <cell r="B637">
            <v>46206</v>
          </cell>
          <cell r="C637" t="str">
            <v>已齐</v>
          </cell>
          <cell r="D637" t="str">
            <v>无成分唛
</v>
          </cell>
        </row>
        <row r="637">
          <cell r="G637" t="str">
            <v>JJN65823</v>
          </cell>
          <cell r="H637">
            <v>46171</v>
          </cell>
        </row>
        <row r="638">
          <cell r="A638" t="str">
            <v>JJN65827</v>
          </cell>
          <cell r="B638">
            <v>46206</v>
          </cell>
          <cell r="C638" t="str">
            <v>已齐</v>
          </cell>
          <cell r="D638" t="str">
            <v>无成分唛</v>
          </cell>
        </row>
        <row r="638">
          <cell r="G638" t="str">
            <v>JJN63882B</v>
          </cell>
          <cell r="H638">
            <v>46172</v>
          </cell>
        </row>
        <row r="639">
          <cell r="A639" t="str">
            <v>JQG63440</v>
          </cell>
          <cell r="B639">
            <v>46206</v>
          </cell>
          <cell r="C639" t="str">
            <v>已齐</v>
          </cell>
        </row>
        <row r="639">
          <cell r="G639" t="str">
            <v>JJN65813B</v>
          </cell>
          <cell r="H639">
            <v>46171</v>
          </cell>
        </row>
        <row r="640">
          <cell r="A640" t="str">
            <v>JHN63443</v>
          </cell>
          <cell r="B640">
            <v>46206</v>
          </cell>
          <cell r="C640" t="str">
            <v>已齐</v>
          </cell>
        </row>
        <row r="640">
          <cell r="G640" t="str">
            <v>JJN65824A</v>
          </cell>
          <cell r="H640">
            <v>46171</v>
          </cell>
        </row>
        <row r="641">
          <cell r="A641" t="str">
            <v>JCG63447</v>
          </cell>
          <cell r="B641">
            <v>46206</v>
          </cell>
          <cell r="C641" t="str">
            <v>已齐</v>
          </cell>
        </row>
        <row r="641">
          <cell r="G641" t="str">
            <v>JJN65824B</v>
          </cell>
          <cell r="H641">
            <v>46171</v>
          </cell>
        </row>
        <row r="642">
          <cell r="A642" t="str">
            <v>JXN63445</v>
          </cell>
          <cell r="B642">
            <v>46206</v>
          </cell>
          <cell r="C642" t="str">
            <v>已齐</v>
          </cell>
        </row>
        <row r="642">
          <cell r="G642" t="str">
            <v>JJN65821</v>
          </cell>
          <cell r="H642">
            <v>46171</v>
          </cell>
        </row>
        <row r="643">
          <cell r="A643" t="str">
            <v>JMB63941</v>
          </cell>
          <cell r="B643">
            <v>46206</v>
          </cell>
          <cell r="C643" t="str">
            <v>已齐</v>
          </cell>
          <cell r="D643" t="str">
            <v>无成分唛</v>
          </cell>
        </row>
        <row r="643">
          <cell r="G643" t="str">
            <v>JJN65822</v>
          </cell>
          <cell r="H643">
            <v>46171</v>
          </cell>
        </row>
        <row r="644">
          <cell r="A644" t="str">
            <v>JLG63330</v>
          </cell>
          <cell r="B644">
            <v>46206</v>
          </cell>
          <cell r="C644" t="str">
            <v>已齐</v>
          </cell>
          <cell r="D644" t="str">
            <v>无成分唛</v>
          </cell>
        </row>
        <row r="644">
          <cell r="G644" t="str">
            <v>JNG60250</v>
          </cell>
          <cell r="H644">
            <v>46142</v>
          </cell>
        </row>
        <row r="645">
          <cell r="A645" t="str">
            <v>JYN64859B</v>
          </cell>
          <cell r="B645">
            <v>46206</v>
          </cell>
          <cell r="C645" t="str">
            <v>已齐</v>
          </cell>
          <cell r="D645" t="str">
            <v>无成分唛</v>
          </cell>
        </row>
        <row r="645">
          <cell r="G645" t="str">
            <v>JNG60251</v>
          </cell>
          <cell r="H645">
            <v>46142</v>
          </cell>
        </row>
        <row r="646">
          <cell r="A646" t="str">
            <v>JYN64859A</v>
          </cell>
          <cell r="B646">
            <v>46206</v>
          </cell>
          <cell r="C646" t="str">
            <v>已齐</v>
          </cell>
          <cell r="D646" t="str">
            <v>无成分唛</v>
          </cell>
        </row>
        <row r="646">
          <cell r="G646" t="str">
            <v>JYN64814A</v>
          </cell>
          <cell r="H646">
            <v>46169</v>
          </cell>
        </row>
        <row r="647">
          <cell r="A647" t="str">
            <v>JAG64831</v>
          </cell>
          <cell r="B647">
            <v>46209</v>
          </cell>
          <cell r="C647" t="str">
            <v>已齐</v>
          </cell>
        </row>
        <row r="647">
          <cell r="G647" t="str">
            <v>JYN64814B</v>
          </cell>
          <cell r="H647">
            <v>46169</v>
          </cell>
        </row>
        <row r="648">
          <cell r="A648" t="str">
            <v>JJG63910</v>
          </cell>
          <cell r="B648">
            <v>46209</v>
          </cell>
          <cell r="C648" t="str">
            <v>已齐</v>
          </cell>
        </row>
        <row r="648">
          <cell r="G648" t="str">
            <v>JYN64855</v>
          </cell>
          <cell r="H648">
            <v>46169</v>
          </cell>
        </row>
        <row r="649">
          <cell r="A649" t="str">
            <v>JGG64845</v>
          </cell>
          <cell r="B649">
            <v>46209</v>
          </cell>
          <cell r="C649" t="str">
            <v>已齐</v>
          </cell>
        </row>
        <row r="649">
          <cell r="G649" t="str">
            <v>JYG64856</v>
          </cell>
          <cell r="H649">
            <v>46169</v>
          </cell>
        </row>
        <row r="650">
          <cell r="A650" t="str">
            <v>JYB64822</v>
          </cell>
          <cell r="B650">
            <v>46209</v>
          </cell>
          <cell r="C650" t="str">
            <v>已齐</v>
          </cell>
          <cell r="D650" t="str">
            <v>无成分唛</v>
          </cell>
        </row>
        <row r="650">
          <cell r="G650" t="str">
            <v>JYB64858</v>
          </cell>
          <cell r="H650">
            <v>46169</v>
          </cell>
        </row>
        <row r="651">
          <cell r="A651" t="str">
            <v>JYG64828</v>
          </cell>
          <cell r="B651">
            <v>46209</v>
          </cell>
          <cell r="C651" t="str">
            <v>已齐</v>
          </cell>
          <cell r="D651" t="str">
            <v>无成分唛</v>
          </cell>
        </row>
        <row r="651">
          <cell r="G651" t="str">
            <v>JYG64857</v>
          </cell>
          <cell r="H651">
            <v>46169</v>
          </cell>
        </row>
        <row r="652">
          <cell r="A652" t="str">
            <v>JYG64818</v>
          </cell>
          <cell r="B652">
            <v>46209</v>
          </cell>
          <cell r="C652" t="str">
            <v>已齐</v>
          </cell>
          <cell r="D652" t="str">
            <v>无成分唛</v>
          </cell>
        </row>
        <row r="652">
          <cell r="G652" t="str">
            <v>JYB64860</v>
          </cell>
          <cell r="H652">
            <v>46169</v>
          </cell>
        </row>
        <row r="653">
          <cell r="A653" t="str">
            <v>JQG65825</v>
          </cell>
          <cell r="B653">
            <v>46209</v>
          </cell>
          <cell r="C653" t="str">
            <v>已齐</v>
          </cell>
        </row>
        <row r="653">
          <cell r="G653" t="str">
            <v>JYB64861</v>
          </cell>
          <cell r="H653">
            <v>46169</v>
          </cell>
        </row>
        <row r="654">
          <cell r="A654" t="str">
            <v>JKG65015</v>
          </cell>
          <cell r="B654">
            <v>46209</v>
          </cell>
          <cell r="C654" t="str">
            <v>已齐</v>
          </cell>
        </row>
        <row r="654">
          <cell r="G654" t="str">
            <v>JAG64842</v>
          </cell>
          <cell r="H654">
            <v>46186</v>
          </cell>
        </row>
        <row r="655">
          <cell r="A655" t="str">
            <v>JKG65023</v>
          </cell>
          <cell r="B655">
            <v>46209</v>
          </cell>
          <cell r="C655" t="str">
            <v>已齐</v>
          </cell>
        </row>
        <row r="655">
          <cell r="G655" t="str">
            <v>JJN63921</v>
          </cell>
          <cell r="H655">
            <v>46172</v>
          </cell>
        </row>
        <row r="656">
          <cell r="A656" t="str">
            <v>JRG63126</v>
          </cell>
          <cell r="B656">
            <v>46209</v>
          </cell>
          <cell r="C656" t="str">
            <v>已齐</v>
          </cell>
          <cell r="D656" t="str">
            <v>无成分唛</v>
          </cell>
        </row>
        <row r="656">
          <cell r="G656" t="str">
            <v>JJN65826</v>
          </cell>
          <cell r="H656">
            <v>46171</v>
          </cell>
        </row>
        <row r="657">
          <cell r="A657" t="str">
            <v>JRB63338</v>
          </cell>
          <cell r="B657">
            <v>46209</v>
          </cell>
          <cell r="C657" t="str">
            <v>已齐</v>
          </cell>
        </row>
        <row r="657">
          <cell r="G657" t="str">
            <v>JJN65827</v>
          </cell>
          <cell r="H657">
            <v>46173</v>
          </cell>
        </row>
        <row r="658">
          <cell r="A658" t="str">
            <v>JLG63341</v>
          </cell>
          <cell r="B658">
            <v>46209</v>
          </cell>
          <cell r="C658" t="str">
            <v>已齐</v>
          </cell>
          <cell r="D658" t="str">
            <v>无成分唛</v>
          </cell>
        </row>
        <row r="658">
          <cell r="G658" t="str">
            <v>JHB64850</v>
          </cell>
          <cell r="H658">
            <v>46186</v>
          </cell>
        </row>
        <row r="659">
          <cell r="A659" t="str">
            <v>JQG63927</v>
          </cell>
          <cell r="B659">
            <v>46209</v>
          </cell>
          <cell r="C659" t="str">
            <v>已齐</v>
          </cell>
        </row>
        <row r="659">
          <cell r="G659" t="str">
            <v>JXG63347</v>
          </cell>
          <cell r="H659">
            <v>46172</v>
          </cell>
        </row>
        <row r="660">
          <cell r="A660" t="str">
            <v>JXG63930</v>
          </cell>
          <cell r="B660">
            <v>46209</v>
          </cell>
          <cell r="C660" t="str">
            <v>已齐</v>
          </cell>
        </row>
        <row r="660">
          <cell r="G660" t="str">
            <v>JXG63346</v>
          </cell>
          <cell r="H660">
            <v>46172</v>
          </cell>
        </row>
        <row r="661">
          <cell r="A661" t="str">
            <v>JQG63931</v>
          </cell>
          <cell r="B661">
            <v>46209</v>
          </cell>
          <cell r="C661" t="str">
            <v>已齐</v>
          </cell>
          <cell r="D661" t="str">
            <v>无成分唛</v>
          </cell>
        </row>
        <row r="661">
          <cell r="G661" t="str">
            <v>JXN63345</v>
          </cell>
          <cell r="H661">
            <v>46172</v>
          </cell>
        </row>
        <row r="662">
          <cell r="A662" t="str">
            <v>JDG63439</v>
          </cell>
          <cell r="B662">
            <v>46209</v>
          </cell>
          <cell r="C662" t="str">
            <v>已齐</v>
          </cell>
          <cell r="D662" t="str">
            <v>无成分唛</v>
          </cell>
        </row>
        <row r="662">
          <cell r="G662" t="str">
            <v>JDG63344</v>
          </cell>
          <cell r="H662">
            <v>46172</v>
          </cell>
        </row>
        <row r="663">
          <cell r="A663" t="str">
            <v>JDG63441</v>
          </cell>
          <cell r="B663">
            <v>46209</v>
          </cell>
          <cell r="C663" t="str">
            <v>已齐</v>
          </cell>
        </row>
        <row r="663">
          <cell r="G663" t="str">
            <v>JDG63343</v>
          </cell>
          <cell r="H663">
            <v>46172</v>
          </cell>
        </row>
        <row r="664">
          <cell r="A664" t="str">
            <v>JXB65524</v>
          </cell>
          <cell r="B664">
            <v>46209</v>
          </cell>
          <cell r="C664" t="str">
            <v>已齐</v>
          </cell>
          <cell r="D664" t="str">
            <v>无成分唛</v>
          </cell>
        </row>
        <row r="664">
          <cell r="G664" t="str">
            <v>JLG63342</v>
          </cell>
          <cell r="H664">
            <v>46177</v>
          </cell>
        </row>
        <row r="665">
          <cell r="A665" t="str">
            <v>JTG63934</v>
          </cell>
          <cell r="B665">
            <v>46209</v>
          </cell>
          <cell r="C665" t="str">
            <v>已齐</v>
          </cell>
          <cell r="D665" t="str">
            <v>无成分唛</v>
          </cell>
        </row>
        <row r="665">
          <cell r="G665" t="str">
            <v>JRB65604</v>
          </cell>
          <cell r="H665">
            <v>46186</v>
          </cell>
        </row>
        <row r="666">
          <cell r="A666" t="str">
            <v>JLN63335</v>
          </cell>
          <cell r="B666">
            <v>46209</v>
          </cell>
          <cell r="C666" t="str">
            <v>已齐</v>
          </cell>
        </row>
        <row r="666">
          <cell r="G666" t="str">
            <v>JAN64510</v>
          </cell>
          <cell r="H666">
            <v>46186</v>
          </cell>
        </row>
        <row r="667">
          <cell r="A667" t="str">
            <v>JTG63334</v>
          </cell>
          <cell r="B667">
            <v>46209</v>
          </cell>
          <cell r="C667" t="str">
            <v>已齐</v>
          </cell>
          <cell r="D667" t="str">
            <v>无成分唛</v>
          </cell>
        </row>
        <row r="667">
          <cell r="G667" t="str">
            <v>JQG63430</v>
          </cell>
          <cell r="H667">
            <v>46172</v>
          </cell>
        </row>
        <row r="668">
          <cell r="A668" t="str">
            <v>JTB63444</v>
          </cell>
          <cell r="B668">
            <v>46209</v>
          </cell>
          <cell r="C668" t="str">
            <v>已齐</v>
          </cell>
        </row>
        <row r="668">
          <cell r="G668" t="str">
            <v>JZG63431</v>
          </cell>
          <cell r="H668">
            <v>46172</v>
          </cell>
        </row>
        <row r="669">
          <cell r="A669" t="str">
            <v>JXG63446</v>
          </cell>
          <cell r="B669">
            <v>46209</v>
          </cell>
          <cell r="C669" t="str">
            <v>已齐</v>
          </cell>
        </row>
        <row r="669">
          <cell r="G669" t="str">
            <v>JJN65516</v>
          </cell>
          <cell r="H669">
            <v>46184</v>
          </cell>
        </row>
        <row r="670">
          <cell r="A670" t="str">
            <v>JAG64509</v>
          </cell>
          <cell r="B670">
            <v>46211</v>
          </cell>
          <cell r="C670" t="str">
            <v>已齐</v>
          </cell>
        </row>
        <row r="670">
          <cell r="G670" t="str">
            <v>JHG63432</v>
          </cell>
          <cell r="H670">
            <v>46178</v>
          </cell>
        </row>
        <row r="671">
          <cell r="A671" t="str">
            <v>JAG64602</v>
          </cell>
          <cell r="B671">
            <v>46211</v>
          </cell>
          <cell r="C671" t="str">
            <v>已齐</v>
          </cell>
        </row>
        <row r="671">
          <cell r="G671" t="str">
            <v>JJB63433</v>
          </cell>
          <cell r="H671">
            <v>46172</v>
          </cell>
        </row>
        <row r="672">
          <cell r="A672" t="str">
            <v>JAG64604</v>
          </cell>
          <cell r="B672">
            <v>46211</v>
          </cell>
          <cell r="C672" t="str">
            <v>已齐</v>
          </cell>
        </row>
        <row r="672">
          <cell r="G672" t="str">
            <v>JTG63435</v>
          </cell>
          <cell r="H672">
            <v>46172</v>
          </cell>
        </row>
        <row r="673">
          <cell r="A673" t="str">
            <v>JHB64832</v>
          </cell>
          <cell r="B673">
            <v>46211</v>
          </cell>
          <cell r="C673" t="str">
            <v>已齐</v>
          </cell>
        </row>
        <row r="673">
          <cell r="G673" t="str">
            <v>JTG63436</v>
          </cell>
          <cell r="H673">
            <v>46173</v>
          </cell>
        </row>
        <row r="674">
          <cell r="A674" t="str">
            <v>JAB64006</v>
          </cell>
          <cell r="B674">
            <v>46211</v>
          </cell>
          <cell r="C674" t="str">
            <v>已齐</v>
          </cell>
          <cell r="D674" t="str">
            <v>无成分唛</v>
          </cell>
        </row>
        <row r="674">
          <cell r="G674" t="str">
            <v>JTG63437</v>
          </cell>
          <cell r="H674">
            <v>46177</v>
          </cell>
        </row>
        <row r="675">
          <cell r="A675" t="str">
            <v>JAG64841</v>
          </cell>
          <cell r="B675">
            <v>46211</v>
          </cell>
          <cell r="C675" t="str">
            <v>已齐</v>
          </cell>
        </row>
        <row r="675">
          <cell r="G675" t="str">
            <v>JYN64007</v>
          </cell>
          <cell r="H675">
            <v>46185</v>
          </cell>
        </row>
        <row r="676">
          <cell r="A676" t="str">
            <v>JRG65818</v>
          </cell>
          <cell r="B676">
            <v>46211</v>
          </cell>
          <cell r="C676" t="str">
            <v>已齐</v>
          </cell>
          <cell r="D676" t="str">
            <v>无成分唛</v>
          </cell>
        </row>
        <row r="676">
          <cell r="G676" t="str">
            <v>JDG63122</v>
          </cell>
          <cell r="H676">
            <v>46172</v>
          </cell>
        </row>
        <row r="677">
          <cell r="A677" t="str">
            <v>JYB64821</v>
          </cell>
          <cell r="B677">
            <v>46211</v>
          </cell>
          <cell r="C677" t="str">
            <v>已齐</v>
          </cell>
          <cell r="D677" t="str">
            <v>无成分唛</v>
          </cell>
        </row>
        <row r="677">
          <cell r="G677" t="str">
            <v>JDG63123</v>
          </cell>
          <cell r="H677">
            <v>46172</v>
          </cell>
        </row>
        <row r="678">
          <cell r="A678" t="str">
            <v>JYG64829</v>
          </cell>
          <cell r="B678">
            <v>46211</v>
          </cell>
          <cell r="C678" t="str">
            <v>已齐</v>
          </cell>
          <cell r="D678" t="str">
            <v>无成分唛</v>
          </cell>
        </row>
        <row r="678">
          <cell r="G678" t="str">
            <v>JKG63124</v>
          </cell>
          <cell r="H678">
            <v>46172</v>
          </cell>
        </row>
        <row r="679">
          <cell r="A679" t="str">
            <v>JJN65516</v>
          </cell>
          <cell r="B679">
            <v>46211</v>
          </cell>
          <cell r="C679" t="str">
            <v>已齐</v>
          </cell>
        </row>
        <row r="679">
          <cell r="G679" t="str">
            <v>JJG64008</v>
          </cell>
          <cell r="H679">
            <v>46184</v>
          </cell>
        </row>
        <row r="680">
          <cell r="A680" t="str">
            <v>JDG65031</v>
          </cell>
          <cell r="B680">
            <v>46211</v>
          </cell>
          <cell r="C680" t="str">
            <v>已齐</v>
          </cell>
          <cell r="D680" t="str">
            <v>腿袜无成分唛</v>
          </cell>
        </row>
        <row r="680">
          <cell r="G680" t="str">
            <v>JDG65017</v>
          </cell>
          <cell r="H680">
            <v>46186</v>
          </cell>
        </row>
        <row r="681">
          <cell r="A681" t="str">
            <v>JKN63339</v>
          </cell>
          <cell r="B681">
            <v>46211</v>
          </cell>
          <cell r="C681" t="str">
            <v>已齐</v>
          </cell>
        </row>
        <row r="681">
          <cell r="G681" t="str">
            <v>JJG64009</v>
          </cell>
          <cell r="H681">
            <v>46186</v>
          </cell>
        </row>
        <row r="682">
          <cell r="A682" t="str">
            <v>JMB65828</v>
          </cell>
          <cell r="B682">
            <v>46211</v>
          </cell>
          <cell r="C682" t="str">
            <v>已齐</v>
          </cell>
          <cell r="D682" t="str">
            <v>无成分唛</v>
          </cell>
        </row>
        <row r="682">
          <cell r="G682" t="str">
            <v>JKG65015</v>
          </cell>
          <cell r="H682">
            <v>46186</v>
          </cell>
        </row>
        <row r="683">
          <cell r="A683" t="str">
            <v>JKG65836</v>
          </cell>
          <cell r="B683">
            <v>46211</v>
          </cell>
          <cell r="C683" t="str">
            <v>已齐</v>
          </cell>
          <cell r="D683" t="str">
            <v>静物模特共用</v>
          </cell>
        </row>
        <row r="683">
          <cell r="G683" t="str">
            <v>JQG63923</v>
          </cell>
          <cell r="H683">
            <v>46181</v>
          </cell>
        </row>
        <row r="684">
          <cell r="A684" t="str">
            <v>JMG65511</v>
          </cell>
          <cell r="B684">
            <v>46211</v>
          </cell>
          <cell r="C684" t="str">
            <v>已齐</v>
          </cell>
          <cell r="D684" t="str">
            <v>无成分唛</v>
          </cell>
        </row>
        <row r="684">
          <cell r="G684" t="str">
            <v>JHG63924</v>
          </cell>
          <cell r="H684">
            <v>46178</v>
          </cell>
        </row>
        <row r="685">
          <cell r="A685" t="str">
            <v>JRB63336</v>
          </cell>
          <cell r="B685">
            <v>46211</v>
          </cell>
          <cell r="C685" t="str">
            <v>已齐</v>
          </cell>
        </row>
        <row r="685">
          <cell r="G685" t="str">
            <v>JRG63925</v>
          </cell>
          <cell r="H685">
            <v>46173</v>
          </cell>
        </row>
        <row r="686">
          <cell r="A686" t="str">
            <v>JTG63940</v>
          </cell>
          <cell r="B686">
            <v>46211</v>
          </cell>
          <cell r="C686" t="str">
            <v>已齐</v>
          </cell>
          <cell r="D686" t="str">
            <v>无成分唛</v>
          </cell>
        </row>
        <row r="686">
          <cell r="G686" t="str">
            <v>JTG63926</v>
          </cell>
          <cell r="H686">
            <v>46172</v>
          </cell>
        </row>
        <row r="687">
          <cell r="A687" t="str">
            <v>JXG65564</v>
          </cell>
          <cell r="B687">
            <v>46211</v>
          </cell>
          <cell r="C687" t="str">
            <v>已齐</v>
          </cell>
        </row>
        <row r="687">
          <cell r="G687" t="str">
            <v>JTG65819</v>
          </cell>
          <cell r="H687">
            <v>46191</v>
          </cell>
        </row>
        <row r="688">
          <cell r="A688" t="str">
            <v>JXG65565</v>
          </cell>
          <cell r="B688">
            <v>46211</v>
          </cell>
          <cell r="C688" t="str">
            <v>已齐</v>
          </cell>
        </row>
        <row r="688">
          <cell r="G688" t="str">
            <v>JYG64851</v>
          </cell>
          <cell r="H688">
            <v>46191</v>
          </cell>
        </row>
        <row r="689">
          <cell r="A689" t="str">
            <v>JAG64603</v>
          </cell>
          <cell r="B689">
            <v>46211</v>
          </cell>
          <cell r="C689" t="str">
            <v>已齐</v>
          </cell>
        </row>
        <row r="689">
          <cell r="G689" t="str">
            <v>JYG64852</v>
          </cell>
          <cell r="H689">
            <v>46188</v>
          </cell>
        </row>
        <row r="690">
          <cell r="A690" t="str">
            <v>JQG63904</v>
          </cell>
          <cell r="B690">
            <v>46213</v>
          </cell>
          <cell r="C690" t="str">
            <v>已齐</v>
          </cell>
          <cell r="D690" t="str">
            <v>无成分唛</v>
          </cell>
        </row>
        <row r="690">
          <cell r="G690" t="str">
            <v>JYN64853</v>
          </cell>
          <cell r="H690">
            <v>46188</v>
          </cell>
        </row>
        <row r="691">
          <cell r="A691" t="str">
            <v>JJN65010</v>
          </cell>
          <cell r="B691">
            <v>46213</v>
          </cell>
          <cell r="C691" t="str">
            <v>已齐</v>
          </cell>
        </row>
        <row r="691">
          <cell r="G691" t="str">
            <v>JAG64854</v>
          </cell>
          <cell r="H691">
            <v>46191</v>
          </cell>
        </row>
        <row r="692">
          <cell r="A692" t="str">
            <v>JTG65011</v>
          </cell>
          <cell r="B692">
            <v>46213</v>
          </cell>
          <cell r="C692" t="str">
            <v>已齐</v>
          </cell>
        </row>
        <row r="692">
          <cell r="G692" t="str">
            <v>JXG63828</v>
          </cell>
          <cell r="H692">
            <v>46115</v>
          </cell>
        </row>
        <row r="693">
          <cell r="A693" t="str">
            <v>JHG64847</v>
          </cell>
          <cell r="B693">
            <v>46213</v>
          </cell>
          <cell r="C693" t="str">
            <v>已齐</v>
          </cell>
        </row>
        <row r="693">
          <cell r="G693" t="str">
            <v>JAG64815</v>
          </cell>
          <cell r="H693">
            <v>46172</v>
          </cell>
        </row>
        <row r="694">
          <cell r="A694" t="str">
            <v>JTG65513</v>
          </cell>
          <cell r="B694">
            <v>46213</v>
          </cell>
          <cell r="C694" t="str">
            <v>已齐</v>
          </cell>
        </row>
        <row r="694">
          <cell r="G694" t="str">
            <v>JAG64816</v>
          </cell>
          <cell r="H694">
            <v>46183</v>
          </cell>
        </row>
        <row r="695">
          <cell r="A695" t="str">
            <v>JKG65512</v>
          </cell>
          <cell r="B695">
            <v>46213</v>
          </cell>
          <cell r="C695" t="str">
            <v>已齐</v>
          </cell>
        </row>
        <row r="695">
          <cell r="G695" t="str">
            <v>JQG65020</v>
          </cell>
          <cell r="H695">
            <v>46202</v>
          </cell>
        </row>
        <row r="696">
          <cell r="A696" t="str">
            <v>JAG64511</v>
          </cell>
          <cell r="B696">
            <v>46213</v>
          </cell>
          <cell r="C696" t="str">
            <v>已齐</v>
          </cell>
        </row>
        <row r="696">
          <cell r="G696" t="str">
            <v>JJG64012</v>
          </cell>
          <cell r="H696">
            <v>46197</v>
          </cell>
        </row>
        <row r="697">
          <cell r="A697" t="str">
            <v>JRB65604</v>
          </cell>
          <cell r="B697">
            <v>46213</v>
          </cell>
          <cell r="C697" t="str">
            <v>已齐</v>
          </cell>
        </row>
        <row r="697">
          <cell r="G697" t="str">
            <v>JGG65022</v>
          </cell>
          <cell r="H697">
            <v>46197</v>
          </cell>
        </row>
        <row r="698">
          <cell r="A698" t="str">
            <v>JKG64010</v>
          </cell>
          <cell r="B698">
            <v>46213</v>
          </cell>
          <cell r="C698" t="str">
            <v>已齐</v>
          </cell>
          <cell r="D698" t="str">
            <v>无成分唛</v>
          </cell>
        </row>
        <row r="698">
          <cell r="G698" t="str">
            <v>JKG65023</v>
          </cell>
          <cell r="H698">
            <v>46197</v>
          </cell>
        </row>
        <row r="699">
          <cell r="A699" t="str">
            <v>JRG65606</v>
          </cell>
          <cell r="B699">
            <v>46213</v>
          </cell>
          <cell r="C699" t="str">
            <v>已齐</v>
          </cell>
        </row>
        <row r="699">
          <cell r="G699" t="str">
            <v>JDG65024</v>
          </cell>
          <cell r="H699">
            <v>46196</v>
          </cell>
        </row>
        <row r="700">
          <cell r="A700" t="str">
            <v>JKB65611</v>
          </cell>
          <cell r="B700">
            <v>46213</v>
          </cell>
          <cell r="C700" t="str">
            <v>已齐</v>
          </cell>
        </row>
        <row r="700">
          <cell r="G700" t="str">
            <v>JDG65031</v>
          </cell>
          <cell r="H700">
            <v>46202</v>
          </cell>
        </row>
        <row r="701">
          <cell r="A701" t="str">
            <v>JLB65613</v>
          </cell>
          <cell r="B701">
            <v>46213</v>
          </cell>
          <cell r="C701" t="str">
            <v>已齐</v>
          </cell>
        </row>
        <row r="701">
          <cell r="G701" t="str">
            <v>JKG64010</v>
          </cell>
          <cell r="H701">
            <v>46197</v>
          </cell>
        </row>
        <row r="702">
          <cell r="A702" t="str">
            <v>JKG64608</v>
          </cell>
          <cell r="B702">
            <v>46213</v>
          </cell>
          <cell r="C702" t="str">
            <v>已齐</v>
          </cell>
        </row>
        <row r="702">
          <cell r="G702" t="str">
            <v>JKN65027</v>
          </cell>
          <cell r="H702">
            <v>46197</v>
          </cell>
        </row>
        <row r="703">
          <cell r="A703" t="str">
            <v>JKN64609</v>
          </cell>
          <cell r="B703">
            <v>46213</v>
          </cell>
          <cell r="C703" t="str">
            <v>已齐</v>
          </cell>
        </row>
        <row r="703">
          <cell r="G703" t="str">
            <v>JKG65028</v>
          </cell>
          <cell r="H703">
            <v>46197</v>
          </cell>
        </row>
        <row r="704">
          <cell r="A704" t="str">
            <v>JMG65519</v>
          </cell>
          <cell r="B704">
            <v>46213</v>
          </cell>
          <cell r="C704" t="str">
            <v>已齐</v>
          </cell>
          <cell r="D704" t="str">
            <v>无成分唛</v>
          </cell>
        </row>
        <row r="704">
          <cell r="G704" t="str">
            <v>JJG65030</v>
          </cell>
          <cell r="H704">
            <v>46197</v>
          </cell>
        </row>
        <row r="705">
          <cell r="A705" t="str">
            <v>JTN63948</v>
          </cell>
          <cell r="B705">
            <v>46213</v>
          </cell>
          <cell r="C705" t="str">
            <v>已齐</v>
          </cell>
        </row>
        <row r="705">
          <cell r="G705" t="str">
            <v>JRN63125</v>
          </cell>
          <cell r="H705">
            <v>46190</v>
          </cell>
        </row>
        <row r="706">
          <cell r="A706" t="str">
            <v>JKG64014</v>
          </cell>
          <cell r="B706">
            <v>46213</v>
          </cell>
          <cell r="C706" t="str">
            <v>已齐</v>
          </cell>
        </row>
        <row r="706">
          <cell r="G706" t="str">
            <v>JRG63126</v>
          </cell>
          <cell r="H706">
            <v>46180</v>
          </cell>
        </row>
        <row r="707">
          <cell r="A707" t="str">
            <v>JRG65616</v>
          </cell>
          <cell r="B707">
            <v>46213</v>
          </cell>
          <cell r="C707" t="str">
            <v>已齐</v>
          </cell>
        </row>
        <row r="707">
          <cell r="G707" t="str">
            <v>JHN64011</v>
          </cell>
          <cell r="H707">
            <v>46202</v>
          </cell>
        </row>
        <row r="708">
          <cell r="A708" t="str">
            <v>JKB65543</v>
          </cell>
          <cell r="B708">
            <v>46213</v>
          </cell>
          <cell r="C708" t="str">
            <v>已齐</v>
          </cell>
        </row>
        <row r="708">
          <cell r="G708" t="str">
            <v>JKG65032</v>
          </cell>
          <cell r="H708">
            <v>46197</v>
          </cell>
        </row>
        <row r="709">
          <cell r="A709" t="str">
            <v>JQG63920</v>
          </cell>
          <cell r="B709">
            <v>46213</v>
          </cell>
          <cell r="C709" t="str">
            <v>已齐</v>
          </cell>
          <cell r="D709" t="str">
            <v>无成分唛
</v>
          </cell>
        </row>
        <row r="709">
          <cell r="G709" t="str">
            <v>JJG65036</v>
          </cell>
          <cell r="H709">
            <v>46197</v>
          </cell>
        </row>
        <row r="710">
          <cell r="A710" t="str">
            <v>JVN64849</v>
          </cell>
          <cell r="B710">
            <v>46213</v>
          </cell>
          <cell r="C710" t="str">
            <v>已齐</v>
          </cell>
          <cell r="D710" t="str">
            <v>无成分唛</v>
          </cell>
        </row>
        <row r="710">
          <cell r="G710" t="str">
            <v>JJG63337</v>
          </cell>
          <cell r="H710">
            <v>46182</v>
          </cell>
        </row>
        <row r="711">
          <cell r="A711" t="str">
            <v>JXG63939</v>
          </cell>
          <cell r="B711">
            <v>46213</v>
          </cell>
          <cell r="C711" t="str">
            <v>已齐</v>
          </cell>
        </row>
        <row r="711">
          <cell r="G711" t="str">
            <v>JRB63338</v>
          </cell>
          <cell r="H711">
            <v>46190</v>
          </cell>
        </row>
        <row r="712">
          <cell r="A712" t="str">
            <v>JXG63332</v>
          </cell>
          <cell r="B712">
            <v>46213</v>
          </cell>
          <cell r="C712" t="str">
            <v>已齐</v>
          </cell>
          <cell r="D712" t="str">
            <v>无成分唛</v>
          </cell>
        </row>
        <row r="712">
          <cell r="G712" t="str">
            <v>JKN63339</v>
          </cell>
          <cell r="H712">
            <v>46186</v>
          </cell>
        </row>
        <row r="713">
          <cell r="A713" t="str">
            <v>JXB63329</v>
          </cell>
          <cell r="B713">
            <v>46213</v>
          </cell>
          <cell r="C713" t="str">
            <v>已齐</v>
          </cell>
        </row>
        <row r="713">
          <cell r="G713" t="str">
            <v>JKN63340</v>
          </cell>
          <cell r="H713">
            <v>46186</v>
          </cell>
        </row>
        <row r="714">
          <cell r="A714" t="str">
            <v>JKN63449</v>
          </cell>
          <cell r="B714">
            <v>46213</v>
          </cell>
          <cell r="C714" t="str">
            <v>已齐</v>
          </cell>
        </row>
        <row r="714">
          <cell r="G714" t="str">
            <v>JLG63341</v>
          </cell>
          <cell r="H714">
            <v>46182</v>
          </cell>
        </row>
        <row r="715">
          <cell r="A715" t="str">
            <v>JMN63401</v>
          </cell>
          <cell r="B715">
            <v>46213</v>
          </cell>
          <cell r="C715" t="str">
            <v>已齐</v>
          </cell>
          <cell r="D715" t="str">
            <v>无成分唛</v>
          </cell>
        </row>
        <row r="715">
          <cell r="G715" t="str">
            <v>JJB65605</v>
          </cell>
          <cell r="H715">
            <v>46202</v>
          </cell>
        </row>
        <row r="716">
          <cell r="A716" t="str">
            <v>JQG63915</v>
          </cell>
          <cell r="B716">
            <v>46216</v>
          </cell>
          <cell r="C716" t="str">
            <v>已齐</v>
          </cell>
          <cell r="D716" t="str">
            <v>无成分唛</v>
          </cell>
        </row>
        <row r="716">
          <cell r="G716" t="str">
            <v>JRG65606</v>
          </cell>
          <cell r="H716">
            <v>46202</v>
          </cell>
        </row>
        <row r="717">
          <cell r="A717" t="str">
            <v>JAG64815</v>
          </cell>
          <cell r="B717">
            <v>46216</v>
          </cell>
          <cell r="C717" t="str">
            <v>已齐</v>
          </cell>
          <cell r="D717" t="str">
            <v>无成分唛</v>
          </cell>
        </row>
        <row r="717">
          <cell r="G717" t="str">
            <v>JKG65607</v>
          </cell>
          <cell r="H717">
            <v>46202</v>
          </cell>
        </row>
        <row r="718">
          <cell r="A718" t="str">
            <v>JJG65817</v>
          </cell>
          <cell r="B718">
            <v>46216</v>
          </cell>
          <cell r="C718" t="str">
            <v>已齐</v>
          </cell>
        </row>
        <row r="718">
          <cell r="G718" t="str">
            <v>JKG65608</v>
          </cell>
          <cell r="H718">
            <v>46194</v>
          </cell>
        </row>
        <row r="719">
          <cell r="A719" t="str">
            <v>JHB64850</v>
          </cell>
          <cell r="B719">
            <v>46216</v>
          </cell>
          <cell r="C719" t="str">
            <v>已齐</v>
          </cell>
        </row>
        <row r="719">
          <cell r="G719" t="str">
            <v>JKB65609</v>
          </cell>
          <cell r="H719">
            <v>46196</v>
          </cell>
        </row>
        <row r="720">
          <cell r="A720" t="str">
            <v>JDG65017</v>
          </cell>
          <cell r="B720">
            <v>46216</v>
          </cell>
          <cell r="C720" t="str">
            <v>已齐</v>
          </cell>
        </row>
        <row r="720">
          <cell r="G720" t="str">
            <v>JKB65610</v>
          </cell>
          <cell r="H720">
            <v>46196</v>
          </cell>
        </row>
        <row r="721">
          <cell r="A721" t="str">
            <v>JJG64009</v>
          </cell>
          <cell r="B721">
            <v>46216</v>
          </cell>
          <cell r="C721" t="str">
            <v>已齐</v>
          </cell>
        </row>
        <row r="721">
          <cell r="G721" t="str">
            <v>JKB65611</v>
          </cell>
          <cell r="H721">
            <v>46202</v>
          </cell>
        </row>
        <row r="722">
          <cell r="A722" t="str">
            <v>JDG65024</v>
          </cell>
          <cell r="B722">
            <v>46216</v>
          </cell>
          <cell r="C722" t="str">
            <v>已齐</v>
          </cell>
        </row>
        <row r="722">
          <cell r="G722" t="str">
            <v>JLG65612</v>
          </cell>
          <cell r="H722">
            <v>46197</v>
          </cell>
        </row>
        <row r="723">
          <cell r="A723" t="str">
            <v>JRN63125</v>
          </cell>
          <cell r="B723">
            <v>46216</v>
          </cell>
          <cell r="C723" t="str">
            <v>已齐</v>
          </cell>
        </row>
        <row r="723">
          <cell r="G723" t="str">
            <v>JLB65613</v>
          </cell>
          <cell r="H723">
            <v>46196</v>
          </cell>
        </row>
        <row r="724">
          <cell r="A724" t="str">
            <v>JKG65032</v>
          </cell>
          <cell r="B724">
            <v>46216</v>
          </cell>
          <cell r="C724" t="str">
            <v>已齐</v>
          </cell>
        </row>
        <row r="724">
          <cell r="G724" t="str">
            <v>JTN65614</v>
          </cell>
          <cell r="H724">
            <v>46190</v>
          </cell>
        </row>
        <row r="725">
          <cell r="A725" t="str">
            <v>JKN63340</v>
          </cell>
          <cell r="B725">
            <v>46216</v>
          </cell>
          <cell r="C725" t="str">
            <v>已齐</v>
          </cell>
        </row>
        <row r="725">
          <cell r="G725" t="str">
            <v>JJG64606</v>
          </cell>
          <cell r="H725">
            <v>46197</v>
          </cell>
        </row>
        <row r="726">
          <cell r="A726" t="str">
            <v>JJB65605</v>
          </cell>
          <cell r="B726">
            <v>46216</v>
          </cell>
          <cell r="C726" t="str">
            <v>已齐</v>
          </cell>
        </row>
        <row r="726">
          <cell r="G726" t="str">
            <v>JJB64607</v>
          </cell>
          <cell r="H726">
            <v>46196</v>
          </cell>
        </row>
        <row r="727">
          <cell r="A727" t="str">
            <v>JKB65609</v>
          </cell>
          <cell r="B727">
            <v>46216</v>
          </cell>
          <cell r="C727" t="str">
            <v>已齐</v>
          </cell>
        </row>
        <row r="727">
          <cell r="G727" t="str">
            <v>JKG64608</v>
          </cell>
          <cell r="H727">
            <v>46202</v>
          </cell>
        </row>
        <row r="728">
          <cell r="A728" t="str">
            <v>JTN65614</v>
          </cell>
          <cell r="B728">
            <v>46216</v>
          </cell>
          <cell r="C728" t="str">
            <v>已齐</v>
          </cell>
        </row>
        <row r="728">
          <cell r="G728" t="str">
            <v>JKN64609</v>
          </cell>
          <cell r="H728">
            <v>46197</v>
          </cell>
        </row>
        <row r="729">
          <cell r="A729" t="str">
            <v>JJG64606</v>
          </cell>
          <cell r="B729">
            <v>46216</v>
          </cell>
          <cell r="C729" t="str">
            <v>已齐</v>
          </cell>
        </row>
        <row r="729">
          <cell r="G729" t="str">
            <v>JLG64610</v>
          </cell>
          <cell r="H729">
            <v>46200</v>
          </cell>
        </row>
        <row r="730">
          <cell r="A730" t="str">
            <v>JLG64610</v>
          </cell>
          <cell r="B730">
            <v>46216</v>
          </cell>
          <cell r="C730" t="str">
            <v>已齐</v>
          </cell>
        </row>
        <row r="730">
          <cell r="G730" t="str">
            <v>JQG63927</v>
          </cell>
          <cell r="H730">
            <v>46184</v>
          </cell>
        </row>
        <row r="731">
          <cell r="A731" t="str">
            <v>JKG65521</v>
          </cell>
          <cell r="B731">
            <v>46216</v>
          </cell>
          <cell r="C731" t="str">
            <v>已齐</v>
          </cell>
        </row>
        <row r="731">
          <cell r="G731" t="str">
            <v>JRG63928</v>
          </cell>
          <cell r="H731">
            <v>46190</v>
          </cell>
        </row>
        <row r="732">
          <cell r="A732" t="str">
            <v>JTB63933</v>
          </cell>
          <cell r="B732">
            <v>46216</v>
          </cell>
          <cell r="C732" t="str">
            <v>已齐</v>
          </cell>
        </row>
        <row r="732">
          <cell r="G732" t="str">
            <v>JTG63929</v>
          </cell>
          <cell r="H732">
            <v>46190</v>
          </cell>
        </row>
        <row r="733">
          <cell r="A733" t="str">
            <v>JTG63935</v>
          </cell>
          <cell r="B733">
            <v>46216</v>
          </cell>
          <cell r="C733" t="str">
            <v>已齐</v>
          </cell>
          <cell r="D733" t="str">
            <v>无成分唛</v>
          </cell>
        </row>
        <row r="733">
          <cell r="G733" t="str">
            <v>JXG63930</v>
          </cell>
          <cell r="H733">
            <v>46182</v>
          </cell>
        </row>
        <row r="734">
          <cell r="A734" t="str">
            <v>JJG63936</v>
          </cell>
          <cell r="B734">
            <v>46216</v>
          </cell>
          <cell r="C734" t="str">
            <v>已齐</v>
          </cell>
        </row>
        <row r="734">
          <cell r="G734" t="str">
            <v>JQG63931</v>
          </cell>
          <cell r="H734">
            <v>46182</v>
          </cell>
        </row>
        <row r="735">
          <cell r="A735" t="str">
            <v>JQG63937</v>
          </cell>
          <cell r="B735">
            <v>46216</v>
          </cell>
          <cell r="C735" t="str">
            <v>已齐</v>
          </cell>
        </row>
        <row r="735">
          <cell r="G735" t="str">
            <v>JMB65828</v>
          </cell>
          <cell r="H735">
            <v>46202</v>
          </cell>
        </row>
        <row r="736">
          <cell r="A736" t="str">
            <v>JXB65636</v>
          </cell>
          <cell r="B736">
            <v>46216</v>
          </cell>
          <cell r="C736" t="str">
            <v>已齐</v>
          </cell>
        </row>
        <row r="736">
          <cell r="G736" t="str">
            <v>JAG64869</v>
          </cell>
          <cell r="H736">
            <v>46202</v>
          </cell>
        </row>
        <row r="737">
          <cell r="A737" t="str">
            <v>JDG65638</v>
          </cell>
          <cell r="B737">
            <v>46216</v>
          </cell>
          <cell r="C737" t="str">
            <v>已齐</v>
          </cell>
        </row>
        <row r="737">
          <cell r="G737" t="str">
            <v>JJG65830</v>
          </cell>
          <cell r="H737">
            <v>46197</v>
          </cell>
        </row>
        <row r="738">
          <cell r="A738" t="str">
            <v>JLN63328</v>
          </cell>
          <cell r="B738">
            <v>46216</v>
          </cell>
          <cell r="C738" t="str">
            <v>已齐</v>
          </cell>
        </row>
        <row r="738">
          <cell r="G738" t="str">
            <v>JQG63938</v>
          </cell>
          <cell r="H738">
            <v>46202</v>
          </cell>
        </row>
        <row r="739">
          <cell r="A739" t="str">
            <v>JTG63327</v>
          </cell>
          <cell r="B739">
            <v>46216</v>
          </cell>
          <cell r="C739" t="str">
            <v>已齐</v>
          </cell>
        </row>
        <row r="739">
          <cell r="G739" t="str">
            <v>JLB65832</v>
          </cell>
          <cell r="H739">
            <v>46196</v>
          </cell>
        </row>
        <row r="740">
          <cell r="A740" t="str">
            <v>JTB63326</v>
          </cell>
          <cell r="B740">
            <v>46216</v>
          </cell>
          <cell r="C740" t="str">
            <v>已齐</v>
          </cell>
          <cell r="D740" t="str">
            <v>无成分唛</v>
          </cell>
        </row>
        <row r="740">
          <cell r="G740" t="str">
            <v>JRB65833</v>
          </cell>
          <cell r="H740">
            <v>46196</v>
          </cell>
        </row>
        <row r="741">
          <cell r="A741" t="str">
            <v>JCG63448</v>
          </cell>
          <cell r="B741">
            <v>46216</v>
          </cell>
          <cell r="C741" t="str">
            <v>已齐</v>
          </cell>
        </row>
        <row r="741">
          <cell r="G741" t="str">
            <v>JJB64864</v>
          </cell>
          <cell r="H741">
            <v>46196</v>
          </cell>
        </row>
        <row r="742">
          <cell r="A742" t="str">
            <v>JKG63420</v>
          </cell>
          <cell r="B742">
            <v>46216</v>
          </cell>
          <cell r="C742" t="str">
            <v>已齐</v>
          </cell>
          <cell r="D742" t="str">
            <v>无成分唛</v>
          </cell>
        </row>
        <row r="742">
          <cell r="G742" t="str">
            <v>JXG65835</v>
          </cell>
          <cell r="H742">
            <v>46197</v>
          </cell>
        </row>
        <row r="743">
          <cell r="A743" t="str">
            <v>JXB63942</v>
          </cell>
          <cell r="B743">
            <v>46216</v>
          </cell>
          <cell r="C743" t="str">
            <v>已齐</v>
          </cell>
        </row>
        <row r="743">
          <cell r="G743" t="str">
            <v>JKG65836</v>
          </cell>
          <cell r="H743">
            <v>46194</v>
          </cell>
        </row>
        <row r="744">
          <cell r="A744" t="str">
            <v>JCG63943</v>
          </cell>
          <cell r="B744">
            <v>46216</v>
          </cell>
          <cell r="C744" t="str">
            <v>已齐</v>
          </cell>
          <cell r="D744" t="str">
            <v>披肩无成分唛</v>
          </cell>
        </row>
        <row r="744">
          <cell r="G744" t="str">
            <v>JYN64859A</v>
          </cell>
          <cell r="H744">
            <v>46181</v>
          </cell>
        </row>
        <row r="745">
          <cell r="A745" t="str">
            <v>JTG63127</v>
          </cell>
          <cell r="B745">
            <v>46216</v>
          </cell>
          <cell r="C745" t="str">
            <v>已齐</v>
          </cell>
        </row>
        <row r="745">
          <cell r="G745" t="str">
            <v>JHB64862</v>
          </cell>
          <cell r="H745">
            <v>46202</v>
          </cell>
        </row>
        <row r="746">
          <cell r="A746" t="str">
            <v>JTG63945</v>
          </cell>
          <cell r="B746">
            <v>46216</v>
          </cell>
          <cell r="C746" t="str">
            <v>已齐</v>
          </cell>
        </row>
        <row r="746">
          <cell r="G746" t="str">
            <v>JYG64863</v>
          </cell>
          <cell r="H746">
            <v>46188</v>
          </cell>
        </row>
        <row r="747">
          <cell r="A747" t="str">
            <v>JYN64804</v>
          </cell>
          <cell r="B747">
            <v>46218</v>
          </cell>
          <cell r="C747" t="str">
            <v>已齐</v>
          </cell>
          <cell r="D747" t="str">
            <v>无唛头</v>
          </cell>
        </row>
        <row r="747">
          <cell r="G747" t="str">
            <v>JQG63440</v>
          </cell>
          <cell r="H747">
            <v>46182</v>
          </cell>
        </row>
        <row r="748">
          <cell r="A748" t="str">
            <v>JYG64501</v>
          </cell>
          <cell r="B748">
            <v>46218</v>
          </cell>
          <cell r="C748" t="str">
            <v>已齐</v>
          </cell>
          <cell r="D748" t="str">
            <v>无成分唛
静物模特共用</v>
          </cell>
        </row>
        <row r="748">
          <cell r="G748" t="str">
            <v>JKN63438A</v>
          </cell>
          <cell r="H748">
            <v>46178</v>
          </cell>
        </row>
        <row r="749">
          <cell r="A749" t="str">
            <v>JQG65020</v>
          </cell>
          <cell r="B749">
            <v>46218</v>
          </cell>
          <cell r="C749" t="str">
            <v>已齐</v>
          </cell>
        </row>
        <row r="749">
          <cell r="G749" t="str">
            <v>JMG65511</v>
          </cell>
          <cell r="H749">
            <v>46202</v>
          </cell>
        </row>
        <row r="750">
          <cell r="A750" t="str">
            <v>JKG65607</v>
          </cell>
          <cell r="B750">
            <v>46218</v>
          </cell>
          <cell r="C750" t="str">
            <v>已齐</v>
          </cell>
          <cell r="D750" t="str">
            <v>静物模特共用</v>
          </cell>
        </row>
        <row r="750">
          <cell r="G750" t="str">
            <v>JMG65519</v>
          </cell>
          <cell r="H750">
            <v>46202</v>
          </cell>
        </row>
        <row r="751">
          <cell r="A751" t="str">
            <v>JKG65608</v>
          </cell>
          <cell r="B751">
            <v>46218</v>
          </cell>
          <cell r="C751" t="str">
            <v>已齐</v>
          </cell>
        </row>
        <row r="751">
          <cell r="G751" t="str">
            <v>JHB65510</v>
          </cell>
          <cell r="H751">
            <v>46202</v>
          </cell>
        </row>
        <row r="752">
          <cell r="A752" t="str">
            <v>JKB65610</v>
          </cell>
          <cell r="B752">
            <v>46218</v>
          </cell>
          <cell r="C752" t="str">
            <v>已齐</v>
          </cell>
        </row>
        <row r="752">
          <cell r="G752" t="str">
            <v>JZN64515</v>
          </cell>
          <cell r="H752">
            <v>46202</v>
          </cell>
        </row>
        <row r="753">
          <cell r="A753" t="str">
            <v>JJB64607</v>
          </cell>
          <cell r="B753">
            <v>46218</v>
          </cell>
          <cell r="C753" t="str">
            <v>已齐</v>
          </cell>
        </row>
        <row r="753">
          <cell r="G753" t="str">
            <v>JGN64512</v>
          </cell>
          <cell r="H753">
            <v>46197</v>
          </cell>
        </row>
        <row r="754">
          <cell r="A754" t="str">
            <v>JLB65832</v>
          </cell>
          <cell r="B754">
            <v>46218</v>
          </cell>
          <cell r="C754" t="str">
            <v>已齐</v>
          </cell>
        </row>
        <row r="754">
          <cell r="G754" t="str">
            <v>JJB64513</v>
          </cell>
          <cell r="H754">
            <v>46200</v>
          </cell>
        </row>
        <row r="755">
          <cell r="A755" t="str">
            <v>JKG65522</v>
          </cell>
          <cell r="B755">
            <v>46218</v>
          </cell>
          <cell r="C755" t="str">
            <v>已齐</v>
          </cell>
          <cell r="D755" t="str">
            <v>无成分唛</v>
          </cell>
        </row>
        <row r="755">
          <cell r="G755" t="str">
            <v>JJG64514</v>
          </cell>
          <cell r="H755">
            <v>46200</v>
          </cell>
        </row>
        <row r="756">
          <cell r="A756" t="str">
            <v>JMG65041</v>
          </cell>
          <cell r="B756">
            <v>46218</v>
          </cell>
          <cell r="C756" t="str">
            <v>已齐</v>
          </cell>
          <cell r="D756" t="str">
            <v>无成分唛</v>
          </cell>
        </row>
        <row r="756">
          <cell r="G756" t="str">
            <v>JDG63439</v>
          </cell>
          <cell r="H756">
            <v>46182</v>
          </cell>
        </row>
        <row r="757">
          <cell r="A757" t="str">
            <v>JKG64013</v>
          </cell>
          <cell r="B757">
            <v>46218</v>
          </cell>
          <cell r="C757" t="str">
            <v>已齐</v>
          </cell>
        </row>
        <row r="757">
          <cell r="G757" t="str">
            <v>JDG63441</v>
          </cell>
          <cell r="H757">
            <v>46182</v>
          </cell>
        </row>
        <row r="758">
          <cell r="A758" t="str">
            <v>JKG65620</v>
          </cell>
          <cell r="B758">
            <v>46218</v>
          </cell>
          <cell r="C758" t="str">
            <v>已齐</v>
          </cell>
        </row>
        <row r="758">
          <cell r="G758" t="str">
            <v>JKG65521</v>
          </cell>
          <cell r="H758">
            <v>46200</v>
          </cell>
        </row>
        <row r="759">
          <cell r="A759" t="str">
            <v>JKN65623</v>
          </cell>
          <cell r="B759">
            <v>46218</v>
          </cell>
          <cell r="C759" t="str">
            <v>已齐</v>
          </cell>
        </row>
        <row r="759">
          <cell r="G759" t="str">
            <v>JKG65522</v>
          </cell>
          <cell r="H759">
            <v>46194</v>
          </cell>
        </row>
        <row r="760">
          <cell r="A760" t="str">
            <v>JXN65829</v>
          </cell>
          <cell r="B760">
            <v>46218</v>
          </cell>
          <cell r="C760" t="str">
            <v>已齐</v>
          </cell>
        </row>
        <row r="760">
          <cell r="G760" t="str">
            <v>JRB65523</v>
          </cell>
          <cell r="H760">
            <v>46196</v>
          </cell>
        </row>
        <row r="761">
          <cell r="A761" t="str">
            <v>JVG64874</v>
          </cell>
          <cell r="B761">
            <v>46218</v>
          </cell>
          <cell r="C761" t="str">
            <v>已齐</v>
          </cell>
        </row>
        <row r="761">
          <cell r="G761" t="str">
            <v>JXB65524</v>
          </cell>
          <cell r="H761">
            <v>46196</v>
          </cell>
        </row>
        <row r="762">
          <cell r="A762" t="str">
            <v>JQG63331</v>
          </cell>
          <cell r="B762">
            <v>46218</v>
          </cell>
          <cell r="C762" t="str">
            <v>已齐</v>
          </cell>
        </row>
        <row r="762">
          <cell r="G762" t="str">
            <v>JXB65525</v>
          </cell>
          <cell r="H762">
            <v>46196</v>
          </cell>
        </row>
        <row r="763">
          <cell r="A763" t="str">
            <v>JRN65637</v>
          </cell>
          <cell r="B763">
            <v>46218</v>
          </cell>
          <cell r="C763" t="str">
            <v>已齐</v>
          </cell>
        </row>
        <row r="763">
          <cell r="G763" t="str">
            <v>JGG65526</v>
          </cell>
          <cell r="H763">
            <v>46200</v>
          </cell>
        </row>
        <row r="764">
          <cell r="A764" t="str">
            <v>JHB65575</v>
          </cell>
          <cell r="B764">
            <v>46218</v>
          </cell>
          <cell r="C764" t="str">
            <v>已齐</v>
          </cell>
        </row>
        <row r="764">
          <cell r="G764" t="str">
            <v>JJG65527</v>
          </cell>
          <cell r="H764">
            <v>46200</v>
          </cell>
        </row>
        <row r="765">
          <cell r="A765" t="str">
            <v>JRG65657</v>
          </cell>
          <cell r="B765">
            <v>46218</v>
          </cell>
          <cell r="C765" t="str">
            <v>已齐</v>
          </cell>
        </row>
        <row r="765">
          <cell r="G765" t="str">
            <v>JJG65528</v>
          </cell>
          <cell r="H765">
            <v>46200</v>
          </cell>
        </row>
        <row r="766">
          <cell r="A766" t="str">
            <v>JKG63333</v>
          </cell>
          <cell r="B766">
            <v>46218</v>
          </cell>
          <cell r="C766" t="str">
            <v>仓库调样</v>
          </cell>
        </row>
        <row r="766">
          <cell r="G766" t="str">
            <v>JYN64859B</v>
          </cell>
          <cell r="H766">
            <v>46183</v>
          </cell>
        </row>
        <row r="767">
          <cell r="A767" t="str">
            <v>JXB65525</v>
          </cell>
          <cell r="B767">
            <v>46218</v>
          </cell>
          <cell r="C767" t="str">
            <v>仓库调样</v>
          </cell>
        </row>
        <row r="767">
          <cell r="G767" t="str">
            <v>JKN63438B</v>
          </cell>
          <cell r="H767">
            <v>46177</v>
          </cell>
        </row>
        <row r="768">
          <cell r="A768" t="str">
            <v>JAN64819</v>
          </cell>
          <cell r="B768">
            <v>46220</v>
          </cell>
          <cell r="C768" t="str">
            <v>已齐</v>
          </cell>
          <cell r="D768" t="str">
            <v>无成分唛</v>
          </cell>
        </row>
        <row r="768">
          <cell r="G768" t="str">
            <v>JLG63381</v>
          </cell>
          <cell r="H768">
            <v>46188</v>
          </cell>
        </row>
        <row r="769">
          <cell r="A769" t="str">
            <v>JYG64801</v>
          </cell>
          <cell r="B769">
            <v>46220</v>
          </cell>
          <cell r="C769" t="str">
            <v>已齐</v>
          </cell>
          <cell r="D769" t="str">
            <v>无成分唛
</v>
          </cell>
        </row>
        <row r="769">
          <cell r="G769" t="str">
            <v>JTB63933</v>
          </cell>
          <cell r="H769">
            <v>46183</v>
          </cell>
        </row>
        <row r="770">
          <cell r="A770" t="str">
            <v>JYG64502</v>
          </cell>
          <cell r="B770">
            <v>46220</v>
          </cell>
          <cell r="C770" t="str">
            <v>已齐</v>
          </cell>
          <cell r="D770" t="str">
            <v>无成分唛
</v>
          </cell>
        </row>
        <row r="770">
          <cell r="G770" t="str">
            <v>JTG63934</v>
          </cell>
          <cell r="H770">
            <v>46183</v>
          </cell>
        </row>
        <row r="771">
          <cell r="A771" t="str">
            <v>JYN64605</v>
          </cell>
          <cell r="B771">
            <v>46220</v>
          </cell>
          <cell r="C771" t="str">
            <v>已齐</v>
          </cell>
          <cell r="D771" t="str">
            <v>无成分唛</v>
          </cell>
        </row>
        <row r="771">
          <cell r="G771" t="str">
            <v>JJN65837</v>
          </cell>
          <cell r="H771">
            <v>46197</v>
          </cell>
        </row>
        <row r="772">
          <cell r="A772" t="str">
            <v>JAN64510</v>
          </cell>
          <cell r="B772">
            <v>46220</v>
          </cell>
          <cell r="C772" t="str">
            <v>已齐</v>
          </cell>
          <cell r="D772" t="str">
            <v>无成分唛</v>
          </cell>
        </row>
        <row r="772">
          <cell r="G772" t="str">
            <v>JGB65840</v>
          </cell>
          <cell r="H772">
            <v>46202</v>
          </cell>
        </row>
        <row r="773">
          <cell r="A773" t="str">
            <v>JKG65028</v>
          </cell>
          <cell r="B773">
            <v>46220</v>
          </cell>
          <cell r="C773" t="str">
            <v>已齐</v>
          </cell>
        </row>
        <row r="773">
          <cell r="G773" t="str">
            <v>JJB65841</v>
          </cell>
          <cell r="H773">
            <v>46202</v>
          </cell>
        </row>
        <row r="774">
          <cell r="A774" t="str">
            <v>JLG65612</v>
          </cell>
          <cell r="B774">
            <v>46220</v>
          </cell>
          <cell r="C774" t="str">
            <v>已齐</v>
          </cell>
        </row>
        <row r="774">
          <cell r="G774" t="str">
            <v>JRB65843</v>
          </cell>
          <cell r="H774">
            <v>46202</v>
          </cell>
        </row>
        <row r="775">
          <cell r="A775" t="str">
            <v>JRG63928</v>
          </cell>
          <cell r="B775">
            <v>46220</v>
          </cell>
          <cell r="C775" t="str">
            <v>已齐</v>
          </cell>
        </row>
        <row r="775">
          <cell r="G775" t="str">
            <v>JJN65844</v>
          </cell>
          <cell r="H775">
            <v>46202</v>
          </cell>
        </row>
        <row r="776">
          <cell r="A776" t="str">
            <v>JTG63929</v>
          </cell>
          <cell r="B776">
            <v>46220</v>
          </cell>
          <cell r="C776" t="str">
            <v>已齐</v>
          </cell>
        </row>
        <row r="776">
          <cell r="G776" t="str">
            <v>JQG65846</v>
          </cell>
          <cell r="H776">
            <v>46202</v>
          </cell>
        </row>
        <row r="777">
          <cell r="A777" t="str">
            <v>JJG65528</v>
          </cell>
          <cell r="B777">
            <v>46220</v>
          </cell>
          <cell r="C777" t="str">
            <v>已齐</v>
          </cell>
          <cell r="D777" t="str">
            <v>无成分唛</v>
          </cell>
        </row>
        <row r="777">
          <cell r="G777" t="str">
            <v>JGG64868</v>
          </cell>
          <cell r="H777">
            <v>46202</v>
          </cell>
        </row>
        <row r="778">
          <cell r="A778" t="str">
            <v>JJN65844</v>
          </cell>
          <cell r="B778">
            <v>46220</v>
          </cell>
          <cell r="C778" t="str">
            <v>已齐</v>
          </cell>
        </row>
        <row r="778">
          <cell r="G778" t="str">
            <v>JJG64872</v>
          </cell>
          <cell r="H778">
            <v>46202</v>
          </cell>
        </row>
        <row r="779">
          <cell r="A779" t="str">
            <v>JKG65619</v>
          </cell>
          <cell r="B779">
            <v>46220</v>
          </cell>
          <cell r="C779" t="str">
            <v>已齐</v>
          </cell>
        </row>
        <row r="779">
          <cell r="G779" t="str">
            <v>JJG65849</v>
          </cell>
          <cell r="H779">
            <v>46202</v>
          </cell>
        </row>
        <row r="780">
          <cell r="A780" t="str">
            <v>JJN63442</v>
          </cell>
          <cell r="B780">
            <v>46220</v>
          </cell>
          <cell r="C780" t="str">
            <v>已齐</v>
          </cell>
        </row>
        <row r="780">
          <cell r="G780" t="str">
            <v>JTN63948</v>
          </cell>
          <cell r="H780">
            <v>46197</v>
          </cell>
        </row>
        <row r="781">
          <cell r="A781" t="str">
            <v>JKB65545</v>
          </cell>
          <cell r="B781">
            <v>46220</v>
          </cell>
          <cell r="C781" t="str">
            <v>已齐</v>
          </cell>
        </row>
        <row r="781">
          <cell r="G781" t="str">
            <v>JJN64865</v>
          </cell>
          <cell r="H781">
            <v>46202</v>
          </cell>
        </row>
        <row r="782">
          <cell r="A782" t="str">
            <v>JKG65851</v>
          </cell>
          <cell r="B782">
            <v>46220</v>
          </cell>
          <cell r="C782" t="str">
            <v>已齐</v>
          </cell>
        </row>
        <row r="782">
          <cell r="G782" t="str">
            <v>JJG64866</v>
          </cell>
          <cell r="H782">
            <v>46202</v>
          </cell>
        </row>
        <row r="783">
          <cell r="A783" t="str">
            <v>JMG65845</v>
          </cell>
          <cell r="B783">
            <v>46220</v>
          </cell>
          <cell r="C783" t="str">
            <v>已齐</v>
          </cell>
          <cell r="D783" t="str">
            <v>无成分唛</v>
          </cell>
        </row>
        <row r="783">
          <cell r="G783" t="str">
            <v>JHB64867</v>
          </cell>
          <cell r="H783">
            <v>46202</v>
          </cell>
        </row>
        <row r="784">
          <cell r="A784" t="str">
            <v>JKG64617</v>
          </cell>
          <cell r="B784">
            <v>46220</v>
          </cell>
          <cell r="C784" t="str">
            <v>已齐</v>
          </cell>
        </row>
        <row r="784">
          <cell r="G784" t="str">
            <v>JDG65037</v>
          </cell>
          <cell r="H784">
            <v>46202</v>
          </cell>
        </row>
        <row r="785">
          <cell r="A785" t="str">
            <v>JDG65568</v>
          </cell>
          <cell r="B785">
            <v>46220</v>
          </cell>
          <cell r="C785" t="str">
            <v>已齐</v>
          </cell>
        </row>
        <row r="785">
          <cell r="G785" t="str">
            <v>JKG65038</v>
          </cell>
          <cell r="H785">
            <v>46197</v>
          </cell>
        </row>
        <row r="786">
          <cell r="A786" t="str">
            <v>JMN63128</v>
          </cell>
          <cell r="B786">
            <v>46220</v>
          </cell>
          <cell r="C786" t="str">
            <v>已齐</v>
          </cell>
          <cell r="D786" t="str">
            <v>无成分唛</v>
          </cell>
        </row>
        <row r="786">
          <cell r="G786" t="str">
            <v>JKG65039</v>
          </cell>
          <cell r="H786">
            <v>46200</v>
          </cell>
        </row>
        <row r="787">
          <cell r="A787" t="str">
            <v>JYN64812</v>
          </cell>
          <cell r="B787">
            <v>46223</v>
          </cell>
          <cell r="C787" t="str">
            <v>已齐</v>
          </cell>
          <cell r="D787" t="str">
            <v>无成分唛</v>
          </cell>
        </row>
        <row r="787">
          <cell r="G787" t="str">
            <v>JKG65040</v>
          </cell>
          <cell r="H787">
            <v>46194</v>
          </cell>
        </row>
        <row r="788">
          <cell r="A788" t="str">
            <v>JKN65027</v>
          </cell>
          <cell r="B788">
            <v>46223</v>
          </cell>
          <cell r="C788" t="str">
            <v>已齐</v>
          </cell>
          <cell r="D788" t="str">
            <v>无成分唛</v>
          </cell>
        </row>
        <row r="788">
          <cell r="G788" t="str">
            <v>JMG65041</v>
          </cell>
          <cell r="H788">
            <v>46200</v>
          </cell>
        </row>
        <row r="789">
          <cell r="A789" t="str">
            <v>JJB64864</v>
          </cell>
          <cell r="B789">
            <v>46223</v>
          </cell>
          <cell r="C789" t="str">
            <v>已齐</v>
          </cell>
        </row>
        <row r="789">
          <cell r="G789" t="str">
            <v>JJB65042</v>
          </cell>
          <cell r="H789">
            <v>46202</v>
          </cell>
        </row>
        <row r="790">
          <cell r="A790" t="str">
            <v>JXG65835</v>
          </cell>
          <cell r="B790">
            <v>46223</v>
          </cell>
          <cell r="C790" t="str">
            <v>已齐</v>
          </cell>
        </row>
        <row r="790">
          <cell r="G790" t="str">
            <v>JTB65043</v>
          </cell>
          <cell r="H790">
            <v>46202</v>
          </cell>
        </row>
        <row r="791">
          <cell r="A791" t="str">
            <v>JGN64512</v>
          </cell>
          <cell r="B791">
            <v>46223</v>
          </cell>
          <cell r="C791" t="str">
            <v>已齐</v>
          </cell>
        </row>
        <row r="791">
          <cell r="G791" t="str">
            <v>JLB65044</v>
          </cell>
          <cell r="H791">
            <v>46202</v>
          </cell>
        </row>
        <row r="792">
          <cell r="A792" t="str">
            <v>JGG65526</v>
          </cell>
          <cell r="B792">
            <v>46223</v>
          </cell>
          <cell r="C792" t="str">
            <v>已齐</v>
          </cell>
        </row>
        <row r="792">
          <cell r="G792" t="str">
            <v>JKB65045</v>
          </cell>
          <cell r="H792">
            <v>46202</v>
          </cell>
        </row>
        <row r="793">
          <cell r="A793" t="str">
            <v>JJN65837</v>
          </cell>
          <cell r="B793">
            <v>46223</v>
          </cell>
          <cell r="C793" t="str">
            <v>已齐</v>
          </cell>
          <cell r="D793" t="str">
            <v>蓝色无成分唛</v>
          </cell>
        </row>
        <row r="793">
          <cell r="G793" t="str">
            <v>JJG65048</v>
          </cell>
          <cell r="H793">
            <v>46202</v>
          </cell>
        </row>
        <row r="794">
          <cell r="A794" t="str">
            <v>JJG65849</v>
          </cell>
          <cell r="B794">
            <v>46223</v>
          </cell>
          <cell r="C794" t="str">
            <v>已齐</v>
          </cell>
        </row>
        <row r="794">
          <cell r="G794" t="str">
            <v>JLG65049</v>
          </cell>
          <cell r="H794">
            <v>46202</v>
          </cell>
        </row>
        <row r="795">
          <cell r="A795" t="str">
            <v>JJG64866</v>
          </cell>
          <cell r="B795">
            <v>46223</v>
          </cell>
          <cell r="C795" t="str">
            <v>已齐</v>
          </cell>
        </row>
        <row r="795">
          <cell r="G795" t="str">
            <v>JKG64013</v>
          </cell>
          <cell r="H795">
            <v>46200</v>
          </cell>
        </row>
        <row r="796">
          <cell r="A796" t="str">
            <v>JLB65044</v>
          </cell>
          <cell r="B796">
            <v>46223</v>
          </cell>
          <cell r="C796" t="str">
            <v>已齐</v>
          </cell>
        </row>
        <row r="796">
          <cell r="G796" t="str">
            <v>JKG64014</v>
          </cell>
          <cell r="H796">
            <v>46197</v>
          </cell>
        </row>
        <row r="797">
          <cell r="A797" t="str">
            <v>JKB65045</v>
          </cell>
          <cell r="B797">
            <v>46223</v>
          </cell>
          <cell r="C797" t="str">
            <v>已齐</v>
          </cell>
        </row>
        <row r="797">
          <cell r="G797" t="str">
            <v>JRG65616</v>
          </cell>
          <cell r="H797">
            <v>46197</v>
          </cell>
        </row>
        <row r="798">
          <cell r="A798" t="str">
            <v>JLG65049</v>
          </cell>
          <cell r="B798">
            <v>46223</v>
          </cell>
          <cell r="C798" t="str">
            <v>已齐</v>
          </cell>
        </row>
        <row r="798">
          <cell r="G798" t="str">
            <v>JRB63336</v>
          </cell>
          <cell r="H798">
            <v>46190</v>
          </cell>
        </row>
        <row r="799">
          <cell r="A799" t="str">
            <v>JKG65621</v>
          </cell>
          <cell r="B799">
            <v>46223</v>
          </cell>
          <cell r="C799" t="str">
            <v>已齐</v>
          </cell>
        </row>
        <row r="799">
          <cell r="G799" t="str">
            <v>JKG64614</v>
          </cell>
          <cell r="H799">
            <v>46197</v>
          </cell>
        </row>
        <row r="800">
          <cell r="A800" t="str">
            <v>JJN65628</v>
          </cell>
          <cell r="B800">
            <v>46223</v>
          </cell>
          <cell r="C800" t="str">
            <v>已齐</v>
          </cell>
        </row>
        <row r="800">
          <cell r="G800" t="str">
            <v>JKG65619</v>
          </cell>
          <cell r="H800">
            <v>46197</v>
          </cell>
        </row>
        <row r="801">
          <cell r="A801" t="str">
            <v>JLG65547</v>
          </cell>
          <cell r="B801">
            <v>46223</v>
          </cell>
          <cell r="C801" t="str">
            <v>已齐</v>
          </cell>
        </row>
        <row r="801">
          <cell r="G801" t="str">
            <v>JKG65620</v>
          </cell>
          <cell r="H801">
            <v>46197</v>
          </cell>
        </row>
        <row r="802">
          <cell r="A802" t="str">
            <v>JKB65544</v>
          </cell>
          <cell r="B802">
            <v>46223</v>
          </cell>
          <cell r="C802" t="str">
            <v>已齐</v>
          </cell>
          <cell r="D802" t="str">
            <v>无成分唛</v>
          </cell>
        </row>
        <row r="802">
          <cell r="G802" t="str">
            <v>JKG65621</v>
          </cell>
          <cell r="H802">
            <v>46197</v>
          </cell>
        </row>
        <row r="803">
          <cell r="A803" t="str">
            <v>JKG65550</v>
          </cell>
          <cell r="B803">
            <v>46223</v>
          </cell>
          <cell r="C803" t="str">
            <v>已齐</v>
          </cell>
        </row>
        <row r="803">
          <cell r="G803" t="str">
            <v>JLN63335</v>
          </cell>
          <cell r="H803">
            <v>46183</v>
          </cell>
        </row>
        <row r="804">
          <cell r="A804" t="str">
            <v>JGN65848</v>
          </cell>
          <cell r="B804">
            <v>46223</v>
          </cell>
          <cell r="C804" t="str">
            <v>已齐</v>
          </cell>
        </row>
        <row r="804">
          <cell r="G804" t="str">
            <v>JKN65623</v>
          </cell>
          <cell r="H804">
            <v>46194</v>
          </cell>
        </row>
        <row r="805">
          <cell r="A805" t="str">
            <v>JGN65634</v>
          </cell>
          <cell r="B805">
            <v>46223</v>
          </cell>
          <cell r="C805" t="str">
            <v>已齐</v>
          </cell>
        </row>
        <row r="805">
          <cell r="G805" t="str">
            <v>JTG65624</v>
          </cell>
          <cell r="H805">
            <v>46202</v>
          </cell>
        </row>
        <row r="806">
          <cell r="A806" t="str">
            <v>JXG65635</v>
          </cell>
          <cell r="B806">
            <v>46223</v>
          </cell>
          <cell r="C806" t="str">
            <v>已齐</v>
          </cell>
        </row>
        <row r="806">
          <cell r="G806" t="str">
            <v>JTG63334</v>
          </cell>
          <cell r="H806">
            <v>46183</v>
          </cell>
        </row>
        <row r="807">
          <cell r="A807" t="str">
            <v>JKB65641</v>
          </cell>
          <cell r="B807">
            <v>46223</v>
          </cell>
          <cell r="C807" t="str">
            <v>已齐</v>
          </cell>
        </row>
        <row r="807">
          <cell r="G807" t="str">
            <v>JTG65626</v>
          </cell>
          <cell r="H807">
            <v>46197</v>
          </cell>
        </row>
        <row r="808">
          <cell r="A808" t="str">
            <v>JXG65566</v>
          </cell>
          <cell r="B808">
            <v>46223</v>
          </cell>
          <cell r="C808" t="str">
            <v>已齐</v>
          </cell>
        </row>
        <row r="808">
          <cell r="G808" t="str">
            <v>JJN65627</v>
          </cell>
          <cell r="H808">
            <v>46197</v>
          </cell>
        </row>
        <row r="809">
          <cell r="A809" t="str">
            <v>JXG65070</v>
          </cell>
          <cell r="B809">
            <v>46223</v>
          </cell>
          <cell r="C809" t="str">
            <v>已齐</v>
          </cell>
        </row>
        <row r="809">
          <cell r="G809" t="str">
            <v>JJN65628</v>
          </cell>
          <cell r="H809">
            <v>46194</v>
          </cell>
        </row>
        <row r="810">
          <cell r="A810" t="str">
            <v>JDG65071</v>
          </cell>
          <cell r="B810">
            <v>46223</v>
          </cell>
          <cell r="C810" t="str">
            <v>已齐</v>
          </cell>
        </row>
        <row r="810">
          <cell r="G810" t="str">
            <v>JJN64611</v>
          </cell>
          <cell r="H810">
            <v>46202</v>
          </cell>
        </row>
        <row r="811">
          <cell r="A811" t="str">
            <v>JHG63129</v>
          </cell>
          <cell r="B811">
            <v>46223</v>
          </cell>
          <cell r="C811" t="str">
            <v>已齐</v>
          </cell>
        </row>
        <row r="811">
          <cell r="G811" t="str">
            <v>JGN65630</v>
          </cell>
          <cell r="H811">
            <v>46202</v>
          </cell>
        </row>
        <row r="812">
          <cell r="A812" t="str">
            <v>JMG65012</v>
          </cell>
          <cell r="B812">
            <v>46223</v>
          </cell>
          <cell r="C812" t="str">
            <v>已齐</v>
          </cell>
          <cell r="D812" t="str">
            <v>无成分唛</v>
          </cell>
        </row>
        <row r="812">
          <cell r="G812" t="str">
            <v>JJN63442</v>
          </cell>
          <cell r="H812">
            <v>46190</v>
          </cell>
        </row>
        <row r="813">
          <cell r="A813" t="str">
            <v>JYG64823</v>
          </cell>
          <cell r="B813">
            <v>46225</v>
          </cell>
          <cell r="C813" t="str">
            <v>已齐</v>
          </cell>
        </row>
        <row r="813">
          <cell r="G813" t="str">
            <v>JTB63444</v>
          </cell>
          <cell r="H813">
            <v>46183</v>
          </cell>
        </row>
        <row r="814">
          <cell r="A814" t="str">
            <v>JTG65819</v>
          </cell>
          <cell r="B814">
            <v>46225</v>
          </cell>
          <cell r="C814" t="str">
            <v>已齐</v>
          </cell>
        </row>
        <row r="814">
          <cell r="G814" t="str">
            <v>JHN63443</v>
          </cell>
          <cell r="H814">
            <v>46190</v>
          </cell>
        </row>
        <row r="815">
          <cell r="A815" t="str">
            <v>JAG64854</v>
          </cell>
          <cell r="B815">
            <v>46225</v>
          </cell>
          <cell r="C815" t="str">
            <v>已齐</v>
          </cell>
        </row>
        <row r="815">
          <cell r="G815" t="str">
            <v>JNN65539</v>
          </cell>
          <cell r="H815">
            <v>46200</v>
          </cell>
        </row>
        <row r="816">
          <cell r="A816" t="str">
            <v>JGG65022</v>
          </cell>
          <cell r="B816">
            <v>46225</v>
          </cell>
          <cell r="C816" t="str">
            <v>已齐</v>
          </cell>
        </row>
        <row r="816">
          <cell r="G816" t="str">
            <v>JRB65540</v>
          </cell>
          <cell r="H816">
            <v>46196</v>
          </cell>
        </row>
        <row r="817">
          <cell r="A817" t="str">
            <v>JJG65030</v>
          </cell>
          <cell r="B817">
            <v>46225</v>
          </cell>
          <cell r="C817" t="str">
            <v>已齐</v>
          </cell>
        </row>
        <row r="817">
          <cell r="G817" t="str">
            <v>JTB65541</v>
          </cell>
          <cell r="H817">
            <v>46197</v>
          </cell>
        </row>
        <row r="818">
          <cell r="A818" t="str">
            <v>JQG63938</v>
          </cell>
          <cell r="B818">
            <v>46225</v>
          </cell>
          <cell r="C818" t="str">
            <v>已齐</v>
          </cell>
        </row>
        <row r="818">
          <cell r="G818" t="str">
            <v>JJB65542</v>
          </cell>
          <cell r="H818">
            <v>46196</v>
          </cell>
        </row>
        <row r="819">
          <cell r="A819" t="str">
            <v>JRB65523</v>
          </cell>
          <cell r="B819">
            <v>46225</v>
          </cell>
          <cell r="C819" t="str">
            <v>已齐</v>
          </cell>
        </row>
        <row r="819">
          <cell r="G819" t="str">
            <v>JLG65547</v>
          </cell>
          <cell r="H819">
            <v>46200</v>
          </cell>
        </row>
        <row r="820">
          <cell r="A820" t="str">
            <v>JGG64868</v>
          </cell>
          <cell r="B820">
            <v>46225</v>
          </cell>
          <cell r="C820" t="str">
            <v>已齐</v>
          </cell>
        </row>
        <row r="820">
          <cell r="G820" t="str">
            <v>JKG65546</v>
          </cell>
          <cell r="H820">
            <v>46196</v>
          </cell>
        </row>
        <row r="821">
          <cell r="A821" t="str">
            <v>JDG65037</v>
          </cell>
          <cell r="B821">
            <v>46225</v>
          </cell>
          <cell r="C821" t="str">
            <v>已齐</v>
          </cell>
        </row>
        <row r="821">
          <cell r="G821" t="str">
            <v>JKB65545</v>
          </cell>
          <cell r="H821">
            <v>46196</v>
          </cell>
        </row>
        <row r="822">
          <cell r="A822" t="str">
            <v>JKG65038</v>
          </cell>
          <cell r="B822">
            <v>46225</v>
          </cell>
          <cell r="C822" t="str">
            <v>已齐</v>
          </cell>
        </row>
        <row r="822">
          <cell r="G822" t="str">
            <v>JKB65544</v>
          </cell>
          <cell r="H822">
            <v>46196</v>
          </cell>
        </row>
        <row r="823">
          <cell r="A823" t="str">
            <v>JTG65626</v>
          </cell>
          <cell r="B823">
            <v>46225</v>
          </cell>
          <cell r="C823" t="str">
            <v>已齐</v>
          </cell>
        </row>
        <row r="823">
          <cell r="G823" t="str">
            <v>JKB65543</v>
          </cell>
          <cell r="H823">
            <v>46196</v>
          </cell>
        </row>
        <row r="824">
          <cell r="A824" t="str">
            <v>JJN65627</v>
          </cell>
          <cell r="B824">
            <v>46225</v>
          </cell>
          <cell r="C824" t="str">
            <v>已齐</v>
          </cell>
        </row>
        <row r="824">
          <cell r="G824" t="str">
            <v>JKG65550</v>
          </cell>
          <cell r="H824">
            <v>46196</v>
          </cell>
        </row>
        <row r="825">
          <cell r="A825" t="str">
            <v>JTB65541</v>
          </cell>
          <cell r="B825">
            <v>46225</v>
          </cell>
          <cell r="C825" t="str">
            <v>已齐</v>
          </cell>
        </row>
        <row r="825">
          <cell r="G825" t="str">
            <v>JKG63333</v>
          </cell>
          <cell r="H825">
            <v>46190</v>
          </cell>
        </row>
        <row r="826">
          <cell r="A826" t="str">
            <v>JJB65542</v>
          </cell>
          <cell r="B826">
            <v>46225</v>
          </cell>
          <cell r="C826" t="str">
            <v>已齐</v>
          </cell>
        </row>
        <row r="826">
          <cell r="G826" t="str">
            <v>JJG64612</v>
          </cell>
          <cell r="H826">
            <v>46202</v>
          </cell>
        </row>
        <row r="827">
          <cell r="A827" t="str">
            <v>JKG65546</v>
          </cell>
          <cell r="B827">
            <v>46225</v>
          </cell>
          <cell r="C827" t="str">
            <v>已齐</v>
          </cell>
        </row>
        <row r="827">
          <cell r="G827" t="str">
            <v>JGG65632</v>
          </cell>
          <cell r="H827">
            <v>46202</v>
          </cell>
        </row>
        <row r="828">
          <cell r="A828" t="str">
            <v>JKG65053</v>
          </cell>
          <cell r="B828">
            <v>46225</v>
          </cell>
          <cell r="C828" t="str">
            <v>已齐</v>
          </cell>
        </row>
        <row r="828">
          <cell r="G828" t="str">
            <v>JQG63920</v>
          </cell>
          <cell r="H828">
            <v>46195</v>
          </cell>
        </row>
        <row r="829">
          <cell r="A829" t="str">
            <v>JKN64018</v>
          </cell>
          <cell r="B829">
            <v>46225</v>
          </cell>
          <cell r="C829" t="str">
            <v>已齐</v>
          </cell>
        </row>
        <row r="829">
          <cell r="G829" t="str">
            <v>JXN65829</v>
          </cell>
          <cell r="H829">
            <v>46203</v>
          </cell>
        </row>
        <row r="830">
          <cell r="A830" t="str">
            <v>JKB64019</v>
          </cell>
          <cell r="B830">
            <v>46225</v>
          </cell>
          <cell r="C830" t="str">
            <v>已齐</v>
          </cell>
        </row>
        <row r="830">
          <cell r="G830" t="str">
            <v>JXN65847A</v>
          </cell>
          <cell r="H830">
            <v>46203</v>
          </cell>
        </row>
        <row r="831">
          <cell r="A831" t="str">
            <v>JJN63325</v>
          </cell>
          <cell r="B831">
            <v>46225</v>
          </cell>
          <cell r="C831" t="str">
            <v>已齐</v>
          </cell>
        </row>
        <row r="831">
          <cell r="G831" t="str">
            <v>JGN65848</v>
          </cell>
          <cell r="H831">
            <v>46203</v>
          </cell>
        </row>
        <row r="832">
          <cell r="A832" t="str">
            <v>JXG65644</v>
          </cell>
          <cell r="B832">
            <v>46225</v>
          </cell>
          <cell r="C832" t="str">
            <v>已齐</v>
          </cell>
        </row>
        <row r="832">
          <cell r="G832" t="str">
            <v>JVN64849</v>
          </cell>
          <cell r="H832">
            <v>46203</v>
          </cell>
        </row>
        <row r="833">
          <cell r="A833" t="str">
            <v>JMG65535</v>
          </cell>
          <cell r="B833">
            <v>46225</v>
          </cell>
          <cell r="C833" t="str">
            <v>已齐</v>
          </cell>
          <cell r="D833" t="str">
            <v>无成分唛</v>
          </cell>
        </row>
        <row r="833">
          <cell r="G833" t="str">
            <v>JTG63935</v>
          </cell>
          <cell r="H833">
            <v>46195</v>
          </cell>
        </row>
        <row r="834">
          <cell r="A834" t="str">
            <v>JXG65654</v>
          </cell>
          <cell r="B834">
            <v>46225</v>
          </cell>
          <cell r="C834" t="str">
            <v>已齐</v>
          </cell>
        </row>
        <row r="834">
          <cell r="G834" t="str">
            <v>JJG63936</v>
          </cell>
          <cell r="H834">
            <v>46195</v>
          </cell>
        </row>
        <row r="835">
          <cell r="A835" t="str">
            <v>JKG65080</v>
          </cell>
          <cell r="B835">
            <v>46225</v>
          </cell>
          <cell r="C835" t="str">
            <v>已齐</v>
          </cell>
        </row>
        <row r="835">
          <cell r="G835" t="str">
            <v>JQG63937</v>
          </cell>
          <cell r="H835">
            <v>46195</v>
          </cell>
        </row>
        <row r="836">
          <cell r="A836" t="str">
            <v>JKG65040</v>
          </cell>
          <cell r="B836">
            <v>46223</v>
          </cell>
          <cell r="C836" t="str">
            <v>已齐</v>
          </cell>
        </row>
        <row r="836">
          <cell r="G836" t="str">
            <v>JXG63939</v>
          </cell>
          <cell r="H836">
            <v>46195</v>
          </cell>
        </row>
        <row r="837">
          <cell r="A837" t="str">
            <v>JRB65540</v>
          </cell>
          <cell r="B837">
            <v>46223</v>
          </cell>
          <cell r="C837" t="str">
            <v>已齐</v>
          </cell>
          <cell r="D837" t="str">
            <v>仓库调样</v>
          </cell>
        </row>
        <row r="837">
          <cell r="G837" t="str">
            <v>JTG63940</v>
          </cell>
          <cell r="H837">
            <v>46195</v>
          </cell>
        </row>
        <row r="838">
          <cell r="A838" t="str">
            <v>JJG65527</v>
          </cell>
          <cell r="B838">
            <v>46223</v>
          </cell>
          <cell r="C838" t="str">
            <v>已齐</v>
          </cell>
        </row>
        <row r="838">
          <cell r="G838" t="str">
            <v>JRG63947</v>
          </cell>
          <cell r="H838">
            <v>46203</v>
          </cell>
        </row>
        <row r="839">
          <cell r="A839" t="str">
            <v>JRB65833</v>
          </cell>
          <cell r="B839">
            <v>46223</v>
          </cell>
          <cell r="C839" t="str">
            <v>已齐，大货调样</v>
          </cell>
        </row>
        <row r="839">
          <cell r="G839" t="str">
            <v>JKG65851</v>
          </cell>
          <cell r="H839">
            <v>46203</v>
          </cell>
        </row>
        <row r="840">
          <cell r="A840" t="str">
            <v>JRG65567</v>
          </cell>
          <cell r="B840">
            <v>46223</v>
          </cell>
          <cell r="C840" t="str">
            <v>已齐，大货调样</v>
          </cell>
        </row>
        <row r="840">
          <cell r="G840" t="str">
            <v>JTG65852</v>
          </cell>
          <cell r="H840">
            <v>46203</v>
          </cell>
        </row>
        <row r="841">
          <cell r="A841" t="str">
            <v>JYG64835</v>
          </cell>
          <cell r="B841">
            <v>46228</v>
          </cell>
          <cell r="C841" t="str">
            <v>欠宝蓝</v>
          </cell>
          <cell r="D841" t="str">
            <v>无成分唛</v>
          </cell>
        </row>
        <row r="841">
          <cell r="G841" t="str">
            <v>JGG65853</v>
          </cell>
          <cell r="H841">
            <v>46203</v>
          </cell>
        </row>
        <row r="842">
          <cell r="A842" t="str">
            <v>JJG64012</v>
          </cell>
          <cell r="B842">
            <v>46228</v>
          </cell>
          <cell r="C842" t="str">
            <v>已齐</v>
          </cell>
        </row>
        <row r="842">
          <cell r="G842" t="str">
            <v>JJG64870</v>
          </cell>
          <cell r="H842">
            <v>46203</v>
          </cell>
        </row>
        <row r="843">
          <cell r="A843" t="str">
            <v>JJG65036</v>
          </cell>
          <cell r="B843">
            <v>46228</v>
          </cell>
          <cell r="C843" t="str">
            <v>已齐</v>
          </cell>
        </row>
        <row r="843">
          <cell r="G843" t="str">
            <v>JJG64871</v>
          </cell>
          <cell r="H843">
            <v>46203</v>
          </cell>
        </row>
        <row r="844">
          <cell r="A844" t="str">
            <v>JJG65830</v>
          </cell>
          <cell r="B844">
            <v>46228</v>
          </cell>
          <cell r="C844" t="str">
            <v>已齐</v>
          </cell>
        </row>
        <row r="844">
          <cell r="G844" t="str">
            <v>JJG64873</v>
          </cell>
          <cell r="H844">
            <v>46203</v>
          </cell>
        </row>
        <row r="845">
          <cell r="A845" t="str">
            <v>JHB65510</v>
          </cell>
          <cell r="B845">
            <v>46228</v>
          </cell>
          <cell r="C845" t="str">
            <v>已齐</v>
          </cell>
          <cell r="D845" t="str">
            <v>无成分唛</v>
          </cell>
        </row>
        <row r="845">
          <cell r="G845" t="str">
            <v>JVG64874</v>
          </cell>
          <cell r="H845">
            <v>46203</v>
          </cell>
        </row>
        <row r="846">
          <cell r="A846" t="str">
            <v>JZN64515</v>
          </cell>
          <cell r="B846">
            <v>46228</v>
          </cell>
          <cell r="C846" t="str">
            <v>已齐</v>
          </cell>
        </row>
        <row r="846">
          <cell r="G846" t="str">
            <v>JKG64875</v>
          </cell>
          <cell r="H846">
            <v>46203</v>
          </cell>
        </row>
        <row r="847">
          <cell r="A847" t="str">
            <v>JRB65843</v>
          </cell>
          <cell r="B847">
            <v>46228</v>
          </cell>
          <cell r="C847" t="str">
            <v>已齐</v>
          </cell>
        </row>
        <row r="847">
          <cell r="G847" t="str">
            <v>JMG65845</v>
          </cell>
          <cell r="H847">
            <v>46203</v>
          </cell>
        </row>
        <row r="848">
          <cell r="A848" t="str">
            <v>JQG65846</v>
          </cell>
          <cell r="B848">
            <v>46228</v>
          </cell>
          <cell r="C848" t="str">
            <v>已齐</v>
          </cell>
        </row>
        <row r="848">
          <cell r="G848" t="str">
            <v>JXG63332</v>
          </cell>
          <cell r="H848">
            <v>46193</v>
          </cell>
        </row>
        <row r="849">
          <cell r="A849" t="str">
            <v>JJG64872</v>
          </cell>
          <cell r="B849">
            <v>46228</v>
          </cell>
          <cell r="C849" t="str">
            <v>已齐</v>
          </cell>
        </row>
        <row r="849">
          <cell r="G849" t="str">
            <v>JQG63331</v>
          </cell>
          <cell r="H849">
            <v>46193</v>
          </cell>
        </row>
        <row r="850">
          <cell r="A850" t="str">
            <v>JKG64614</v>
          </cell>
          <cell r="B850">
            <v>46228</v>
          </cell>
          <cell r="C850" t="str">
            <v>已齐</v>
          </cell>
        </row>
        <row r="850">
          <cell r="G850" t="str">
            <v>JGN65634</v>
          </cell>
          <cell r="H850">
            <v>46203</v>
          </cell>
        </row>
        <row r="851">
          <cell r="A851" t="str">
            <v>JGG65632</v>
          </cell>
          <cell r="B851">
            <v>46228</v>
          </cell>
          <cell r="C851" t="str">
            <v>已齐</v>
          </cell>
        </row>
        <row r="851">
          <cell r="G851" t="str">
            <v>JXG65635</v>
          </cell>
          <cell r="H851">
            <v>46203</v>
          </cell>
        </row>
        <row r="852">
          <cell r="A852" t="str">
            <v>JTG65852</v>
          </cell>
          <cell r="B852">
            <v>46228</v>
          </cell>
          <cell r="C852" t="str">
            <v>已齐</v>
          </cell>
        </row>
        <row r="852">
          <cell r="G852" t="str">
            <v>JXB65636</v>
          </cell>
          <cell r="H852">
            <v>46203</v>
          </cell>
        </row>
        <row r="853">
          <cell r="A853" t="str">
            <v>JGG65853</v>
          </cell>
          <cell r="B853">
            <v>46228</v>
          </cell>
          <cell r="C853" t="str">
            <v>已齐</v>
          </cell>
        </row>
        <row r="853">
          <cell r="G853" t="str">
            <v>JRN65637</v>
          </cell>
          <cell r="H853">
            <v>46203</v>
          </cell>
        </row>
        <row r="854">
          <cell r="A854" t="str">
            <v>JHN65574</v>
          </cell>
          <cell r="B854">
            <v>46228</v>
          </cell>
          <cell r="C854" t="str">
            <v>欠粉色</v>
          </cell>
        </row>
        <row r="854">
          <cell r="G854" t="str">
            <v>JDG65638</v>
          </cell>
          <cell r="H854">
            <v>46203</v>
          </cell>
        </row>
        <row r="855">
          <cell r="A855" t="str">
            <v>JRG65577</v>
          </cell>
          <cell r="B855">
            <v>46228</v>
          </cell>
          <cell r="C855" t="str">
            <v>已齐</v>
          </cell>
        </row>
        <row r="855">
          <cell r="G855" t="str">
            <v>JKG65639</v>
          </cell>
          <cell r="H855">
            <v>46203</v>
          </cell>
        </row>
        <row r="856">
          <cell r="A856" t="str">
            <v>JJN65559</v>
          </cell>
          <cell r="B856">
            <v>46228</v>
          </cell>
          <cell r="C856" t="str">
            <v>欠蓝海熊</v>
          </cell>
        </row>
        <row r="856">
          <cell r="G856" t="str">
            <v>JKG64617</v>
          </cell>
          <cell r="H856">
            <v>46203</v>
          </cell>
        </row>
        <row r="857">
          <cell r="A857" t="str">
            <v>JXN65502</v>
          </cell>
          <cell r="B857">
            <v>46228</v>
          </cell>
          <cell r="C857" t="str">
            <v>已齐</v>
          </cell>
        </row>
        <row r="857">
          <cell r="G857" t="str">
            <v>JKB65641</v>
          </cell>
          <cell r="H857">
            <v>46203</v>
          </cell>
        </row>
        <row r="858">
          <cell r="A858" t="str">
            <v>JMB65558</v>
          </cell>
          <cell r="B858">
            <v>46228</v>
          </cell>
          <cell r="C858" t="str">
            <v>已齐</v>
          </cell>
          <cell r="D858" t="str">
            <v>无成分唛</v>
          </cell>
        </row>
        <row r="858">
          <cell r="G858" t="str">
            <v>JLG65642</v>
          </cell>
          <cell r="H858">
            <v>46203</v>
          </cell>
        </row>
        <row r="859">
          <cell r="A859" t="str">
            <v>JJG64518</v>
          </cell>
          <cell r="B859">
            <v>46228</v>
          </cell>
          <cell r="C859" t="str">
            <v>已齐</v>
          </cell>
        </row>
        <row r="859">
          <cell r="G859" t="str">
            <v>JLG65643</v>
          </cell>
          <cell r="H859">
            <v>46203</v>
          </cell>
        </row>
        <row r="860">
          <cell r="A860" t="str">
            <v>JLG65587</v>
          </cell>
          <cell r="B860">
            <v>46228</v>
          </cell>
          <cell r="C860" t="str">
            <v>已齐</v>
          </cell>
          <cell r="D860" t="str">
            <v>无成分唛</v>
          </cell>
        </row>
        <row r="860">
          <cell r="G860" t="str">
            <v>JAB64615</v>
          </cell>
          <cell r="H860">
            <v>46203</v>
          </cell>
        </row>
        <row r="861">
          <cell r="A861" t="str">
            <v>JJG65584</v>
          </cell>
          <cell r="B861">
            <v>46228</v>
          </cell>
          <cell r="C861" t="str">
            <v>已齐</v>
          </cell>
        </row>
        <row r="861">
          <cell r="G861" t="str">
            <v>JJB64616</v>
          </cell>
          <cell r="H861">
            <v>46203</v>
          </cell>
        </row>
        <row r="862">
          <cell r="A862" t="str">
            <v>JGG64620</v>
          </cell>
          <cell r="B862">
            <v>46228</v>
          </cell>
          <cell r="C862" t="str">
            <v>已齐</v>
          </cell>
        </row>
        <row r="862">
          <cell r="G862" t="str">
            <v>JXB65051</v>
          </cell>
          <cell r="H862">
            <v>46203</v>
          </cell>
        </row>
        <row r="863">
          <cell r="A863" t="str">
            <v>JRG65656</v>
          </cell>
          <cell r="B863">
            <v>46228</v>
          </cell>
          <cell r="C863" t="str">
            <v>已齐</v>
          </cell>
          <cell r="D863" t="str">
            <v>无成分唛</v>
          </cell>
        </row>
        <row r="863">
          <cell r="G863" t="str">
            <v>JJN64015</v>
          </cell>
          <cell r="H863">
            <v>46203</v>
          </cell>
        </row>
        <row r="864">
          <cell r="A864" t="str">
            <v>JLG65617</v>
          </cell>
          <cell r="B864">
            <v>46228</v>
          </cell>
          <cell r="C864" t="str">
            <v>已齐</v>
          </cell>
        </row>
        <row r="864">
          <cell r="G864" t="str">
            <v>JKG65053</v>
          </cell>
          <cell r="H864">
            <v>46203</v>
          </cell>
        </row>
        <row r="865">
          <cell r="A865" t="str">
            <v>JKN65662</v>
          </cell>
          <cell r="B865">
            <v>46228</v>
          </cell>
          <cell r="C865" t="str">
            <v>欠粉色</v>
          </cell>
        </row>
        <row r="865">
          <cell r="G865" t="str">
            <v>JKN64018</v>
          </cell>
          <cell r="H865">
            <v>46203</v>
          </cell>
        </row>
        <row r="866">
          <cell r="A866" t="str">
            <v>JKG64520</v>
          </cell>
          <cell r="B866">
            <v>46228</v>
          </cell>
          <cell r="C866" t="str">
            <v>已齐</v>
          </cell>
        </row>
        <row r="866">
          <cell r="G866" t="str">
            <v>JKB64019</v>
          </cell>
          <cell r="H866">
            <v>46203</v>
          </cell>
        </row>
        <row r="867">
          <cell r="A867" t="str">
            <v>JRB65868</v>
          </cell>
          <cell r="B867">
            <v>46228</v>
          </cell>
          <cell r="C867" t="str">
            <v>已齐</v>
          </cell>
        </row>
        <row r="867">
          <cell r="G867" t="str">
            <v>JKN64020</v>
          </cell>
          <cell r="H867">
            <v>46203</v>
          </cell>
        </row>
        <row r="868">
          <cell r="A868" t="str">
            <v>JHG65518</v>
          </cell>
          <cell r="B868">
            <v>46228</v>
          </cell>
          <cell r="C868" t="str">
            <v>已齐</v>
          </cell>
        </row>
        <row r="868">
          <cell r="G868" t="str">
            <v>JXB65056</v>
          </cell>
          <cell r="H868">
            <v>46203</v>
          </cell>
        </row>
        <row r="869">
          <cell r="A869" t="str">
            <v>JMG65557</v>
          </cell>
          <cell r="B869">
            <v>46228</v>
          </cell>
          <cell r="C869" t="str">
            <v>已齐</v>
          </cell>
          <cell r="D869" t="str">
            <v>无成分唛</v>
          </cell>
        </row>
        <row r="869">
          <cell r="G869" t="str">
            <v>JTB65057</v>
          </cell>
          <cell r="H869">
            <v>46203</v>
          </cell>
        </row>
        <row r="870">
          <cell r="A870" t="str">
            <v>JXN65450</v>
          </cell>
          <cell r="B870">
            <v>46228</v>
          </cell>
          <cell r="C870" t="str">
            <v>已齐</v>
          </cell>
        </row>
        <row r="870">
          <cell r="G870" t="str">
            <v>JJB64016</v>
          </cell>
          <cell r="H870">
            <v>46203</v>
          </cell>
        </row>
        <row r="871">
          <cell r="A871" t="str">
            <v>JMB65052</v>
          </cell>
          <cell r="B871">
            <v>46228</v>
          </cell>
          <cell r="C871" t="str">
            <v>已齐</v>
          </cell>
          <cell r="D871" t="str">
            <v>无成分唛</v>
          </cell>
        </row>
        <row r="871">
          <cell r="G871" t="str">
            <v>JKB64017</v>
          </cell>
          <cell r="H871">
            <v>46203</v>
          </cell>
        </row>
        <row r="872">
          <cell r="A872" t="str">
            <v>JXN65477A</v>
          </cell>
          <cell r="B872">
            <v>46228</v>
          </cell>
          <cell r="C872" t="str">
            <v>已齐</v>
          </cell>
        </row>
        <row r="872">
          <cell r="G872" t="str">
            <v>JCG63447</v>
          </cell>
          <cell r="H872">
            <v>46193</v>
          </cell>
        </row>
        <row r="873">
          <cell r="A873" t="str">
            <v>JAG64816</v>
          </cell>
          <cell r="B873">
            <v>46230</v>
          </cell>
          <cell r="C873" t="str">
            <v>已齐</v>
          </cell>
          <cell r="D873" t="str">
            <v>无成分唛
</v>
          </cell>
        </row>
        <row r="873">
          <cell r="G873" t="str">
            <v>JXG63446</v>
          </cell>
          <cell r="H873">
            <v>46193</v>
          </cell>
        </row>
        <row r="874">
          <cell r="A874" t="str">
            <v>JJG64008</v>
          </cell>
          <cell r="B874">
            <v>46230</v>
          </cell>
          <cell r="C874" t="str">
            <v>已齐</v>
          </cell>
        </row>
        <row r="874">
          <cell r="G874" t="str">
            <v>JXN63445</v>
          </cell>
          <cell r="H874">
            <v>46193</v>
          </cell>
        </row>
        <row r="875">
          <cell r="A875" t="str">
            <v>JGB65840</v>
          </cell>
          <cell r="B875">
            <v>46230</v>
          </cell>
          <cell r="C875" t="str">
            <v>已齐</v>
          </cell>
        </row>
        <row r="875">
          <cell r="G875" t="str">
            <v>JXG65564</v>
          </cell>
          <cell r="H875">
            <v>46203</v>
          </cell>
        </row>
        <row r="876">
          <cell r="A876" t="str">
            <v>JHB64867</v>
          </cell>
          <cell r="B876">
            <v>46230</v>
          </cell>
          <cell r="C876" t="str">
            <v>已齐</v>
          </cell>
        </row>
        <row r="876">
          <cell r="G876" t="str">
            <v>JXG65565</v>
          </cell>
          <cell r="H876">
            <v>46203</v>
          </cell>
        </row>
        <row r="877">
          <cell r="A877" t="str">
            <v>JKG65039</v>
          </cell>
          <cell r="B877">
            <v>46230</v>
          </cell>
          <cell r="C877" t="str">
            <v>已齐</v>
          </cell>
          <cell r="D877" t="str">
            <v>无成分唛</v>
          </cell>
        </row>
        <row r="877">
          <cell r="G877" t="str">
            <v>JXG65566</v>
          </cell>
          <cell r="H877">
            <v>46203</v>
          </cell>
        </row>
        <row r="878">
          <cell r="A878" t="str">
            <v>JTB65043</v>
          </cell>
          <cell r="B878">
            <v>46230</v>
          </cell>
          <cell r="C878" t="str">
            <v>已齐</v>
          </cell>
        </row>
        <row r="878">
          <cell r="G878" t="str">
            <v>JRG65567</v>
          </cell>
          <cell r="H878">
            <v>46203</v>
          </cell>
        </row>
        <row r="879">
          <cell r="A879" t="str">
            <v>JNN65539</v>
          </cell>
          <cell r="B879">
            <v>46230</v>
          </cell>
          <cell r="C879" t="str">
            <v>已齐</v>
          </cell>
        </row>
        <row r="879">
          <cell r="G879" t="str">
            <v>JDG65568</v>
          </cell>
          <cell r="H879">
            <v>46203</v>
          </cell>
        </row>
        <row r="880">
          <cell r="A880" t="str">
            <v>JRG63947</v>
          </cell>
          <cell r="B880">
            <v>46230</v>
          </cell>
          <cell r="C880" t="str">
            <v>已齐</v>
          </cell>
        </row>
        <row r="880">
          <cell r="G880" t="str">
            <v>JKN65569</v>
          </cell>
          <cell r="H880">
            <v>46203</v>
          </cell>
        </row>
        <row r="881">
          <cell r="A881" t="str">
            <v>JKG64875</v>
          </cell>
          <cell r="B881">
            <v>46230</v>
          </cell>
          <cell r="C881" t="str">
            <v>已齐</v>
          </cell>
        </row>
        <row r="881">
          <cell r="G881" t="str">
            <v>JKN65570</v>
          </cell>
          <cell r="H881">
            <v>46203</v>
          </cell>
        </row>
        <row r="882">
          <cell r="A882" t="str">
            <v>JLG65642</v>
          </cell>
          <cell r="B882">
            <v>46230</v>
          </cell>
          <cell r="C882" t="str">
            <v>已齐</v>
          </cell>
        </row>
        <row r="882">
          <cell r="G882" t="str">
            <v>JKB65571</v>
          </cell>
          <cell r="H882">
            <v>46203</v>
          </cell>
        </row>
        <row r="883">
          <cell r="A883" t="str">
            <v>JLG65643</v>
          </cell>
          <cell r="B883">
            <v>46230</v>
          </cell>
          <cell r="C883" t="str">
            <v>已齐</v>
          </cell>
        </row>
        <row r="883">
          <cell r="G883" t="str">
            <v>JJB64516</v>
          </cell>
          <cell r="H883">
            <v>46203</v>
          </cell>
        </row>
        <row r="884">
          <cell r="A884" t="str">
            <v>JKB65571</v>
          </cell>
          <cell r="B884">
            <v>46230</v>
          </cell>
          <cell r="C884" t="str">
            <v>已齐</v>
          </cell>
        </row>
        <row r="884">
          <cell r="G884" t="str">
            <v>JJG64517</v>
          </cell>
          <cell r="H884">
            <v>46203</v>
          </cell>
        </row>
        <row r="885">
          <cell r="A885" t="str">
            <v>JRN65647</v>
          </cell>
          <cell r="B885">
            <v>46230</v>
          </cell>
          <cell r="C885" t="str">
            <v>已齐</v>
          </cell>
        </row>
        <row r="885">
          <cell r="G885" t="str">
            <v>JJG65572</v>
          </cell>
          <cell r="H885">
            <v>46203</v>
          </cell>
        </row>
        <row r="886">
          <cell r="A886" t="str">
            <v>JZN65582</v>
          </cell>
          <cell r="B886">
            <v>46230</v>
          </cell>
          <cell r="C886" t="str">
            <v>已齐</v>
          </cell>
        </row>
        <row r="886">
          <cell r="G886" t="str">
            <v>JKG65573</v>
          </cell>
          <cell r="H886">
            <v>46203</v>
          </cell>
        </row>
        <row r="887">
          <cell r="A887" t="str">
            <v>JNG65586</v>
          </cell>
          <cell r="B887">
            <v>46230</v>
          </cell>
          <cell r="C887" t="str">
            <v>已齐</v>
          </cell>
        </row>
        <row r="887">
          <cell r="G887" t="str">
            <v>JHN65574</v>
          </cell>
          <cell r="H887">
            <v>46203</v>
          </cell>
        </row>
        <row r="888">
          <cell r="A888" t="str">
            <v>JZG65585</v>
          </cell>
          <cell r="B888">
            <v>46230</v>
          </cell>
          <cell r="C888" t="str">
            <v>已齐</v>
          </cell>
        </row>
        <row r="888">
          <cell r="G888" t="str">
            <v>JHB65575</v>
          </cell>
          <cell r="H888">
            <v>46203</v>
          </cell>
        </row>
        <row r="889">
          <cell r="A889" t="str">
            <v>JKG65072</v>
          </cell>
          <cell r="B889">
            <v>46230</v>
          </cell>
          <cell r="C889" t="str">
            <v>已齐</v>
          </cell>
        </row>
        <row r="889">
          <cell r="G889" t="str">
            <v>JQG65576</v>
          </cell>
          <cell r="H889">
            <v>46203</v>
          </cell>
        </row>
        <row r="890">
          <cell r="A890" t="str">
            <v>JXN65655</v>
          </cell>
          <cell r="B890">
            <v>46230</v>
          </cell>
          <cell r="C890" t="str">
            <v>已齐</v>
          </cell>
        </row>
        <row r="890">
          <cell r="G890" t="str">
            <v>JRG65577</v>
          </cell>
          <cell r="H890">
            <v>46203</v>
          </cell>
        </row>
        <row r="891">
          <cell r="A891" t="str">
            <v>JRN65658</v>
          </cell>
          <cell r="B891">
            <v>46230</v>
          </cell>
          <cell r="C891" t="str">
            <v>已齐</v>
          </cell>
        </row>
        <row r="891">
          <cell r="G891" t="str">
            <v>JMB63941</v>
          </cell>
          <cell r="H891">
            <v>46193</v>
          </cell>
        </row>
        <row r="892">
          <cell r="A892" t="str">
            <v>JKN65661</v>
          </cell>
          <cell r="B892">
            <v>46230</v>
          </cell>
          <cell r="C892" t="str">
            <v>已齐</v>
          </cell>
        </row>
        <row r="892">
          <cell r="G892" t="str">
            <v>JLG63330</v>
          </cell>
          <cell r="H892">
            <v>46193</v>
          </cell>
        </row>
        <row r="893">
          <cell r="A893" t="str">
            <v>JKN64521</v>
          </cell>
          <cell r="B893">
            <v>46230</v>
          </cell>
          <cell r="C893" t="str">
            <v>已齐</v>
          </cell>
        </row>
        <row r="893">
          <cell r="G893" t="str">
            <v>JXB63329</v>
          </cell>
          <cell r="H893">
            <v>46203</v>
          </cell>
        </row>
        <row r="894">
          <cell r="A894" t="str">
            <v>JXB65051</v>
          </cell>
          <cell r="B894">
            <v>46225</v>
          </cell>
          <cell r="C894" t="str">
            <v>已齐，大货调样</v>
          </cell>
        </row>
        <row r="894">
          <cell r="G894" t="str">
            <v>JLN63328</v>
          </cell>
          <cell r="H894">
            <v>46203</v>
          </cell>
        </row>
        <row r="895">
          <cell r="G895" t="str">
            <v>JTG63327</v>
          </cell>
          <cell r="H895">
            <v>46203</v>
          </cell>
        </row>
        <row r="896">
          <cell r="G896" t="str">
            <v>JTB63326</v>
          </cell>
          <cell r="H896">
            <v>46203</v>
          </cell>
        </row>
        <row r="897">
          <cell r="G897" t="str">
            <v>JJN63325</v>
          </cell>
          <cell r="H897">
            <v>46203</v>
          </cell>
        </row>
        <row r="898">
          <cell r="G898" t="str">
            <v>JXG65644</v>
          </cell>
          <cell r="H898">
            <v>46206</v>
          </cell>
        </row>
        <row r="899">
          <cell r="G899" t="str">
            <v>JXG65645</v>
          </cell>
          <cell r="H899">
            <v>46209</v>
          </cell>
        </row>
        <row r="900">
          <cell r="G900" t="str">
            <v>JRG65646</v>
          </cell>
          <cell r="H900">
            <v>46210</v>
          </cell>
        </row>
        <row r="901">
          <cell r="G901" t="str">
            <v>JRN65647</v>
          </cell>
          <cell r="H901">
            <v>46209</v>
          </cell>
        </row>
        <row r="902">
          <cell r="G902" t="str">
            <v>JRB65648</v>
          </cell>
          <cell r="H902">
            <v>46207</v>
          </cell>
        </row>
        <row r="903">
          <cell r="G903" t="str">
            <v>JKN65649</v>
          </cell>
          <cell r="H903">
            <v>46209</v>
          </cell>
        </row>
        <row r="904">
          <cell r="G904" t="str">
            <v>JTN65650</v>
          </cell>
          <cell r="H904">
            <v>46208</v>
          </cell>
        </row>
        <row r="905">
          <cell r="G905" t="str">
            <v>JJB64618</v>
          </cell>
          <cell r="H905">
            <v>46209</v>
          </cell>
        </row>
        <row r="906">
          <cell r="G906" t="str">
            <v>JJN65559</v>
          </cell>
          <cell r="H906">
            <v>46206</v>
          </cell>
        </row>
        <row r="907">
          <cell r="G907" t="str">
            <v>JHN65560</v>
          </cell>
          <cell r="H907">
            <v>46210</v>
          </cell>
        </row>
        <row r="908">
          <cell r="G908" t="str">
            <v>JHN65581</v>
          </cell>
          <cell r="H908">
            <v>46211</v>
          </cell>
        </row>
        <row r="909">
          <cell r="G909" t="str">
            <v>JZN65561</v>
          </cell>
          <cell r="H909">
            <v>46210</v>
          </cell>
        </row>
        <row r="910">
          <cell r="G910" t="str">
            <v>JZN65582</v>
          </cell>
          <cell r="H910">
            <v>46209</v>
          </cell>
        </row>
        <row r="911">
          <cell r="G911" t="str">
            <v>JXN65502</v>
          </cell>
          <cell r="H911">
            <v>46206</v>
          </cell>
        </row>
        <row r="912">
          <cell r="G912" t="str">
            <v>JCB65583</v>
          </cell>
          <cell r="H912">
            <v>46208</v>
          </cell>
        </row>
        <row r="913">
          <cell r="G913" t="str">
            <v>JCG63448</v>
          </cell>
          <cell r="H913">
            <v>46203</v>
          </cell>
        </row>
        <row r="914">
          <cell r="G914" t="str">
            <v>JKN63449</v>
          </cell>
          <cell r="H914">
            <v>46203</v>
          </cell>
        </row>
        <row r="915">
          <cell r="G915" t="str">
            <v>JKG63420</v>
          </cell>
          <cell r="H915">
            <v>46203</v>
          </cell>
        </row>
        <row r="916">
          <cell r="G916" t="str">
            <v>JMB65558</v>
          </cell>
          <cell r="H916">
            <v>46209</v>
          </cell>
        </row>
        <row r="917">
          <cell r="G917" t="str">
            <v>JMG65517</v>
          </cell>
          <cell r="H917">
            <v>46212</v>
          </cell>
        </row>
        <row r="918">
          <cell r="G918" t="str">
            <v>JMG65535</v>
          </cell>
          <cell r="H918">
            <v>46211</v>
          </cell>
        </row>
        <row r="919">
          <cell r="G919" t="str">
            <v>JJG64519</v>
          </cell>
          <cell r="H919">
            <v>46216</v>
          </cell>
        </row>
        <row r="920">
          <cell r="G920" t="str">
            <v>JJG64518</v>
          </cell>
          <cell r="H920">
            <v>46208</v>
          </cell>
        </row>
        <row r="921">
          <cell r="G921" t="str">
            <v>JLG65587</v>
          </cell>
          <cell r="H921">
            <v>46208</v>
          </cell>
        </row>
        <row r="922">
          <cell r="G922" t="str">
            <v>JNG65586</v>
          </cell>
          <cell r="H922">
            <v>46207</v>
          </cell>
        </row>
        <row r="923">
          <cell r="G923" t="str">
            <v>JZG65585</v>
          </cell>
          <cell r="H923">
            <v>46208</v>
          </cell>
        </row>
        <row r="924">
          <cell r="G924" t="str">
            <v>JJG65584</v>
          </cell>
          <cell r="H924">
            <v>46207</v>
          </cell>
        </row>
        <row r="925">
          <cell r="G925" t="str">
            <v>JXB63942</v>
          </cell>
          <cell r="H925">
            <v>46203</v>
          </cell>
        </row>
        <row r="926">
          <cell r="G926" t="str">
            <v>JCG63943</v>
          </cell>
          <cell r="H926">
            <v>46203</v>
          </cell>
        </row>
        <row r="927">
          <cell r="G927" t="str">
            <v>JGG65854</v>
          </cell>
          <cell r="H927">
            <v>46212</v>
          </cell>
        </row>
        <row r="928">
          <cell r="G928" t="str">
            <v>JQG65855</v>
          </cell>
          <cell r="H928">
            <v>46212</v>
          </cell>
        </row>
        <row r="929">
          <cell r="G929" t="str">
            <v>JRG65856</v>
          </cell>
          <cell r="H929">
            <v>46216</v>
          </cell>
        </row>
        <row r="930">
          <cell r="G930" t="str">
            <v>JQG65857</v>
          </cell>
          <cell r="H930">
            <v>46212</v>
          </cell>
        </row>
        <row r="931">
          <cell r="G931" t="str">
            <v>JKB65858</v>
          </cell>
          <cell r="H931">
            <v>46206</v>
          </cell>
        </row>
        <row r="932">
          <cell r="G932" t="str">
            <v>JJG65859</v>
          </cell>
          <cell r="H932">
            <v>46210</v>
          </cell>
        </row>
        <row r="933">
          <cell r="G933" t="str">
            <v>JJB65860</v>
          </cell>
          <cell r="H933">
            <v>46212</v>
          </cell>
        </row>
        <row r="934">
          <cell r="G934" t="str">
            <v>JKN64876</v>
          </cell>
          <cell r="H934">
            <v>46206</v>
          </cell>
        </row>
        <row r="935">
          <cell r="G935" t="str">
            <v>JTB65065</v>
          </cell>
          <cell r="H935">
            <v>46208</v>
          </cell>
        </row>
        <row r="936">
          <cell r="G936" t="str">
            <v>JHB65067</v>
          </cell>
          <cell r="H936">
            <v>46208</v>
          </cell>
        </row>
        <row r="937">
          <cell r="G937" t="str">
            <v>JQG65069</v>
          </cell>
          <cell r="H937">
            <v>46212</v>
          </cell>
        </row>
        <row r="938">
          <cell r="G938" t="str">
            <v>JXG65070</v>
          </cell>
          <cell r="H938">
            <v>46206</v>
          </cell>
        </row>
        <row r="939">
          <cell r="G939" t="str">
            <v>JDG65071</v>
          </cell>
          <cell r="H939">
            <v>46206</v>
          </cell>
        </row>
        <row r="940">
          <cell r="G940" t="str">
            <v>JKG65072</v>
          </cell>
          <cell r="H940">
            <v>46216</v>
          </cell>
        </row>
        <row r="941">
          <cell r="G941" t="str">
            <v>JKG65073</v>
          </cell>
          <cell r="H941">
            <v>46206</v>
          </cell>
        </row>
        <row r="942">
          <cell r="G942" t="str">
            <v>JTG63127</v>
          </cell>
          <cell r="H942">
            <v>46203</v>
          </cell>
        </row>
        <row r="943">
          <cell r="G943" t="str">
            <v>JMN63128</v>
          </cell>
          <cell r="H943">
            <v>46203</v>
          </cell>
        </row>
        <row r="944">
          <cell r="G944" t="str">
            <v>JJG64021</v>
          </cell>
          <cell r="H944">
            <v>46208</v>
          </cell>
        </row>
        <row r="945">
          <cell r="G945" t="str">
            <v>JKN64022</v>
          </cell>
          <cell r="H945">
            <v>46209</v>
          </cell>
        </row>
        <row r="946">
          <cell r="G946" t="str">
            <v>JGG64620</v>
          </cell>
          <cell r="H946">
            <v>46207</v>
          </cell>
        </row>
        <row r="947">
          <cell r="G947" t="str">
            <v>JXG65654</v>
          </cell>
          <cell r="H947">
            <v>46206</v>
          </cell>
        </row>
        <row r="948">
          <cell r="G948" t="str">
            <v>JXN65655</v>
          </cell>
          <cell r="H948">
            <v>46206</v>
          </cell>
        </row>
        <row r="949">
          <cell r="G949" t="str">
            <v>JRG65656</v>
          </cell>
          <cell r="H949">
            <v>46207</v>
          </cell>
        </row>
        <row r="950">
          <cell r="G950" t="str">
            <v>JRG65657</v>
          </cell>
          <cell r="H950">
            <v>46206</v>
          </cell>
        </row>
        <row r="951">
          <cell r="G951" t="str">
            <v>JRN65658</v>
          </cell>
          <cell r="H951">
            <v>46206</v>
          </cell>
        </row>
        <row r="952">
          <cell r="G952" t="str">
            <v>JLG65617</v>
          </cell>
          <cell r="H952">
            <v>46207</v>
          </cell>
        </row>
        <row r="953">
          <cell r="G953" t="str">
            <v>JKG65660</v>
          </cell>
          <cell r="H953">
            <v>46208</v>
          </cell>
        </row>
        <row r="954">
          <cell r="G954" t="str">
            <v>JKN65661</v>
          </cell>
          <cell r="H954">
            <v>46206</v>
          </cell>
        </row>
        <row r="955">
          <cell r="G955" t="str">
            <v>JKN65662</v>
          </cell>
          <cell r="H955">
            <v>46209</v>
          </cell>
        </row>
        <row r="956">
          <cell r="G956" t="str">
            <v>JTN65663</v>
          </cell>
          <cell r="H956">
            <v>46208</v>
          </cell>
        </row>
        <row r="957">
          <cell r="G957" t="str">
            <v>JHN65551</v>
          </cell>
          <cell r="H957">
            <v>46209</v>
          </cell>
        </row>
        <row r="958">
          <cell r="G958" t="str">
            <v>JRG65593</v>
          </cell>
          <cell r="H958">
            <v>46210</v>
          </cell>
        </row>
        <row r="959">
          <cell r="G959" t="str">
            <v>JJN65592</v>
          </cell>
          <cell r="H959">
            <v>46209</v>
          </cell>
        </row>
        <row r="960">
          <cell r="G960" t="str">
            <v>JKG65591</v>
          </cell>
          <cell r="H960">
            <v>46208</v>
          </cell>
        </row>
        <row r="961">
          <cell r="G961" t="str">
            <v>JKG64520</v>
          </cell>
          <cell r="H961">
            <v>46206</v>
          </cell>
        </row>
        <row r="962">
          <cell r="G962" t="str">
            <v>JKN64522</v>
          </cell>
          <cell r="H962">
            <v>46209</v>
          </cell>
        </row>
        <row r="963">
          <cell r="G963" t="str">
            <v>JKN64521</v>
          </cell>
          <cell r="H963">
            <v>46206</v>
          </cell>
        </row>
        <row r="964">
          <cell r="G964" t="str">
            <v>JHG65595</v>
          </cell>
          <cell r="H964">
            <v>46216</v>
          </cell>
        </row>
        <row r="965">
          <cell r="G965" t="str">
            <v>JGG65074</v>
          </cell>
          <cell r="H965">
            <v>46216</v>
          </cell>
        </row>
        <row r="966">
          <cell r="G966" t="str">
            <v>JLG65075</v>
          </cell>
          <cell r="H966">
            <v>46216</v>
          </cell>
        </row>
        <row r="967">
          <cell r="G967" t="str">
            <v>JDG65076</v>
          </cell>
          <cell r="H967">
            <v>46211</v>
          </cell>
        </row>
        <row r="968">
          <cell r="G968" t="str">
            <v>JQG63130</v>
          </cell>
          <cell r="H968">
            <v>46212</v>
          </cell>
        </row>
        <row r="969">
          <cell r="G969" t="str">
            <v>JRG65077</v>
          </cell>
          <cell r="H969">
            <v>46212</v>
          </cell>
        </row>
        <row r="970">
          <cell r="G970" t="str">
            <v>JTG65078</v>
          </cell>
          <cell r="H970">
            <v>46212</v>
          </cell>
        </row>
        <row r="971">
          <cell r="G971" t="str">
            <v>JHG63129</v>
          </cell>
          <cell r="H971">
            <v>46203</v>
          </cell>
        </row>
        <row r="972">
          <cell r="G972" t="str">
            <v>JKG64023</v>
          </cell>
          <cell r="H972">
            <v>46208</v>
          </cell>
        </row>
        <row r="973">
          <cell r="G973" t="str">
            <v>JKG65080</v>
          </cell>
          <cell r="H973">
            <v>46208</v>
          </cell>
        </row>
        <row r="974">
          <cell r="G974" t="str">
            <v>JTG63945</v>
          </cell>
          <cell r="H974">
            <v>46203</v>
          </cell>
        </row>
        <row r="975">
          <cell r="G975" t="str">
            <v>JXG65862</v>
          </cell>
          <cell r="H975">
            <v>46207</v>
          </cell>
        </row>
        <row r="976">
          <cell r="G976" t="str">
            <v>JTG65863</v>
          </cell>
          <cell r="H976">
            <v>46212</v>
          </cell>
        </row>
        <row r="977">
          <cell r="G977" t="str">
            <v>JJG65864</v>
          </cell>
          <cell r="H977">
            <v>46218</v>
          </cell>
        </row>
        <row r="978">
          <cell r="G978" t="str">
            <v>JJG65865</v>
          </cell>
          <cell r="H978">
            <v>46212</v>
          </cell>
        </row>
        <row r="979">
          <cell r="G979" t="str">
            <v>JJG65866</v>
          </cell>
          <cell r="H979">
            <v>46212</v>
          </cell>
        </row>
        <row r="980">
          <cell r="G980" t="str">
            <v>JJB65867</v>
          </cell>
          <cell r="H980">
            <v>46212</v>
          </cell>
        </row>
        <row r="981">
          <cell r="G981" t="str">
            <v>JRB65868</v>
          </cell>
          <cell r="H981">
            <v>46206</v>
          </cell>
        </row>
        <row r="982">
          <cell r="G982" t="str">
            <v>JJG65869</v>
          </cell>
          <cell r="H982">
            <v>46216</v>
          </cell>
        </row>
        <row r="983">
          <cell r="G983" t="str">
            <v>JJG64877</v>
          </cell>
          <cell r="H983">
            <v>46207</v>
          </cell>
        </row>
        <row r="984">
          <cell r="G984" t="str">
            <v>JGG64878</v>
          </cell>
          <cell r="H984">
            <v>46208</v>
          </cell>
        </row>
        <row r="985">
          <cell r="G985" t="str">
            <v>JJG64879</v>
          </cell>
          <cell r="H985">
            <v>46208</v>
          </cell>
        </row>
        <row r="986">
          <cell r="G986" t="str">
            <v>JJG65870</v>
          </cell>
          <cell r="H986">
            <v>46220</v>
          </cell>
        </row>
        <row r="987">
          <cell r="G987" t="str">
            <v>JKN64892</v>
          </cell>
          <cell r="H987">
            <v>46214</v>
          </cell>
        </row>
        <row r="988">
          <cell r="G988" t="str">
            <v>JNN65872</v>
          </cell>
          <cell r="H988">
            <v>46222</v>
          </cell>
        </row>
        <row r="989">
          <cell r="G989" t="str">
            <v>JJN65873</v>
          </cell>
          <cell r="H989">
            <v>46220</v>
          </cell>
        </row>
        <row r="990">
          <cell r="G990" t="str">
            <v>JKN65874</v>
          </cell>
          <cell r="H990">
            <v>46216</v>
          </cell>
        </row>
        <row r="991">
          <cell r="G991" t="str">
            <v>JTG65875</v>
          </cell>
          <cell r="H991">
            <v>46225</v>
          </cell>
        </row>
        <row r="992">
          <cell r="G992" t="str">
            <v>JTG65876</v>
          </cell>
          <cell r="H992">
            <v>46234</v>
          </cell>
        </row>
        <row r="993">
          <cell r="G993" t="str">
            <v>JQG65877</v>
          </cell>
          <cell r="H993">
            <v>46234</v>
          </cell>
        </row>
        <row r="994">
          <cell r="G994" t="str">
            <v>JQG65878</v>
          </cell>
          <cell r="H994">
            <v>46228</v>
          </cell>
        </row>
        <row r="995">
          <cell r="G995" t="str">
            <v>JJG65879</v>
          </cell>
          <cell r="H995">
            <v>46222</v>
          </cell>
        </row>
        <row r="996">
          <cell r="G996" t="str">
            <v>JJG65880</v>
          </cell>
          <cell r="H996">
            <v>46228</v>
          </cell>
        </row>
        <row r="997">
          <cell r="G997" t="str">
            <v>JRG65882</v>
          </cell>
          <cell r="H997">
            <v>46225</v>
          </cell>
        </row>
        <row r="998">
          <cell r="G998" t="str">
            <v>JHB65883</v>
          </cell>
          <cell r="H998">
            <v>46220</v>
          </cell>
        </row>
        <row r="999">
          <cell r="G999" t="str">
            <v>JJN65884</v>
          </cell>
          <cell r="H999">
            <v>46222</v>
          </cell>
        </row>
        <row r="1000">
          <cell r="G1000" t="str">
            <v>JJB64885</v>
          </cell>
          <cell r="H1000">
            <v>46220</v>
          </cell>
        </row>
        <row r="1001">
          <cell r="G1001" t="str">
            <v>JJG64886</v>
          </cell>
          <cell r="H1001">
            <v>46234</v>
          </cell>
        </row>
        <row r="1002">
          <cell r="G1002" t="str">
            <v>JJG64887</v>
          </cell>
          <cell r="H1002">
            <v>46228</v>
          </cell>
        </row>
        <row r="1003">
          <cell r="G1003" t="str">
            <v>JKG64881</v>
          </cell>
          <cell r="H1003">
            <v>46228</v>
          </cell>
        </row>
        <row r="1004">
          <cell r="G1004" t="str">
            <v>JJG64882</v>
          </cell>
          <cell r="H1004">
            <v>46228</v>
          </cell>
        </row>
        <row r="1005">
          <cell r="G1005" t="str">
            <v>JJB64883</v>
          </cell>
          <cell r="H1005">
            <v>46220</v>
          </cell>
        </row>
        <row r="1006">
          <cell r="G1006" t="str">
            <v>JHN64884</v>
          </cell>
          <cell r="H1006">
            <v>46228</v>
          </cell>
        </row>
        <row r="1007">
          <cell r="G1007" t="str">
            <v>JRG65664</v>
          </cell>
          <cell r="H1007">
            <v>46225</v>
          </cell>
        </row>
        <row r="1008">
          <cell r="G1008" t="str">
            <v>JRG65665</v>
          </cell>
          <cell r="H1008">
            <v>46225</v>
          </cell>
        </row>
        <row r="1009">
          <cell r="G1009" t="str">
            <v>JRB65666</v>
          </cell>
          <cell r="H1009">
            <v>46225</v>
          </cell>
        </row>
        <row r="1010">
          <cell r="G1010" t="str">
            <v>JRN65667</v>
          </cell>
          <cell r="H1010">
            <v>46216</v>
          </cell>
        </row>
        <row r="1011">
          <cell r="G1011" t="str">
            <v>JJG65668</v>
          </cell>
          <cell r="H1011">
            <v>46228</v>
          </cell>
        </row>
        <row r="1012">
          <cell r="G1012" t="str">
            <v>JJN64619</v>
          </cell>
          <cell r="H1012">
            <v>46220</v>
          </cell>
        </row>
        <row r="1013">
          <cell r="G1013" t="str">
            <v>JXB65670</v>
          </cell>
          <cell r="H1013">
            <v>46214</v>
          </cell>
        </row>
        <row r="1014">
          <cell r="G1014" t="str">
            <v>JXB65671</v>
          </cell>
          <cell r="H1014">
            <v>46220</v>
          </cell>
        </row>
        <row r="1015">
          <cell r="G1015" t="str">
            <v>JXN65672</v>
          </cell>
          <cell r="H1015">
            <v>46214</v>
          </cell>
        </row>
        <row r="1016">
          <cell r="G1016" t="str">
            <v>JXN65673</v>
          </cell>
          <cell r="H1016">
            <v>46213</v>
          </cell>
        </row>
        <row r="1017">
          <cell r="G1017" t="str">
            <v>JHG65674</v>
          </cell>
          <cell r="H1017">
            <v>46234</v>
          </cell>
        </row>
        <row r="1018">
          <cell r="G1018" t="str">
            <v>JDG65675</v>
          </cell>
          <cell r="H1018">
            <v>46228</v>
          </cell>
        </row>
        <row r="1019">
          <cell r="G1019" t="str">
            <v>JKG65676</v>
          </cell>
          <cell r="H1019">
            <v>46228</v>
          </cell>
        </row>
        <row r="1020">
          <cell r="G1020" t="str">
            <v>JLB65677</v>
          </cell>
          <cell r="H1020">
            <v>46228</v>
          </cell>
        </row>
        <row r="1021">
          <cell r="G1021" t="str">
            <v>JKB65678</v>
          </cell>
          <cell r="H1021">
            <v>46228</v>
          </cell>
        </row>
        <row r="1022">
          <cell r="G1022" t="str">
            <v>JKN65679</v>
          </cell>
          <cell r="H1022">
            <v>46225</v>
          </cell>
        </row>
        <row r="1023">
          <cell r="G1023" t="str">
            <v>JTG65680</v>
          </cell>
          <cell r="H1023">
            <v>46220</v>
          </cell>
        </row>
        <row r="1024">
          <cell r="G1024" t="str">
            <v>JTB65681</v>
          </cell>
          <cell r="H1024">
            <v>46220</v>
          </cell>
        </row>
        <row r="1025">
          <cell r="G1025" t="str">
            <v>JHN64621</v>
          </cell>
          <cell r="H1025">
            <v>46222</v>
          </cell>
        </row>
        <row r="1026">
          <cell r="G1026" t="str">
            <v>JHN65552</v>
          </cell>
          <cell r="H1026">
            <v>46234</v>
          </cell>
        </row>
        <row r="1027">
          <cell r="G1027" t="str">
            <v>JHG65518</v>
          </cell>
          <cell r="H1027">
            <v>46220</v>
          </cell>
        </row>
        <row r="1028">
          <cell r="G1028" t="str">
            <v>JMN65579</v>
          </cell>
          <cell r="H1028">
            <v>46222</v>
          </cell>
        </row>
        <row r="1029">
          <cell r="G1029" t="str">
            <v>JMG65557</v>
          </cell>
          <cell r="H1029">
            <v>46228</v>
          </cell>
        </row>
        <row r="1030">
          <cell r="G1030" t="str">
            <v>JMG65578</v>
          </cell>
          <cell r="H1030">
            <v>46220</v>
          </cell>
        </row>
        <row r="1031">
          <cell r="G1031" t="str">
            <v>JMN63401</v>
          </cell>
          <cell r="H1031">
            <v>46208</v>
          </cell>
        </row>
        <row r="1032">
          <cell r="G1032" t="str">
            <v>JXN65594</v>
          </cell>
          <cell r="H1032">
            <v>46213</v>
          </cell>
        </row>
        <row r="1033">
          <cell r="G1033" t="str">
            <v>JXN65599</v>
          </cell>
          <cell r="H1033">
            <v>46216</v>
          </cell>
        </row>
        <row r="1034">
          <cell r="G1034" t="str">
            <v>JXN65450</v>
          </cell>
          <cell r="H1034">
            <v>46213</v>
          </cell>
        </row>
        <row r="1035">
          <cell r="G1035" t="str">
            <v>JGN65451</v>
          </cell>
          <cell r="H1035">
            <v>46214</v>
          </cell>
        </row>
        <row r="1036">
          <cell r="G1036" t="str">
            <v>JGN65452</v>
          </cell>
          <cell r="H1036">
            <v>46214</v>
          </cell>
        </row>
        <row r="1037">
          <cell r="G1037" t="str">
            <v>JZN65453</v>
          </cell>
          <cell r="H1037">
            <v>46228</v>
          </cell>
        </row>
        <row r="1038">
          <cell r="G1038" t="str">
            <v>JQG65454</v>
          </cell>
          <cell r="H1038">
            <v>46228</v>
          </cell>
        </row>
        <row r="1039">
          <cell r="G1039" t="str">
            <v>JQG65455</v>
          </cell>
          <cell r="H1039">
            <v>46222</v>
          </cell>
        </row>
        <row r="1040">
          <cell r="G1040" t="str">
            <v>JXN65456</v>
          </cell>
          <cell r="H1040">
            <v>46228</v>
          </cell>
        </row>
        <row r="1041">
          <cell r="G1041" t="str">
            <v>JRG65457</v>
          </cell>
          <cell r="H1041">
            <v>46228</v>
          </cell>
        </row>
        <row r="1042">
          <cell r="G1042" t="str">
            <v>JJN65458</v>
          </cell>
          <cell r="H1042">
            <v>46220</v>
          </cell>
        </row>
        <row r="1043">
          <cell r="G1043" t="str">
            <v>JJG65471</v>
          </cell>
          <cell r="H1043">
            <v>46220</v>
          </cell>
        </row>
        <row r="1044">
          <cell r="G1044" t="str">
            <v>JTG64525</v>
          </cell>
          <cell r="H1044">
            <v>46222</v>
          </cell>
        </row>
        <row r="1045">
          <cell r="G1045" t="str">
            <v>JZG64524</v>
          </cell>
          <cell r="H1045">
            <v>46228</v>
          </cell>
        </row>
        <row r="1046">
          <cell r="G1046" t="str">
            <v>JKG65460</v>
          </cell>
          <cell r="H1046">
            <v>46234</v>
          </cell>
        </row>
        <row r="1047">
          <cell r="G1047" t="str">
            <v>JLG65461</v>
          </cell>
          <cell r="H1047">
            <v>46234</v>
          </cell>
        </row>
        <row r="1048">
          <cell r="G1048" t="str">
            <v>JLG65462</v>
          </cell>
          <cell r="H1048">
            <v>46220</v>
          </cell>
        </row>
        <row r="1049">
          <cell r="G1049" t="str">
            <v>JKN65463</v>
          </cell>
          <cell r="H1049">
            <v>46220</v>
          </cell>
        </row>
        <row r="1050">
          <cell r="G1050" t="str">
            <v>JTG65092</v>
          </cell>
          <cell r="H1050">
            <v>46222</v>
          </cell>
        </row>
        <row r="1051">
          <cell r="G1051" t="str">
            <v>JXG65093</v>
          </cell>
          <cell r="H1051">
            <v>46222</v>
          </cell>
        </row>
        <row r="1052">
          <cell r="G1052" t="str">
            <v>JKN65094</v>
          </cell>
          <cell r="H1052">
            <v>46220</v>
          </cell>
        </row>
        <row r="1053">
          <cell r="G1053" t="str">
            <v>JKG65095</v>
          </cell>
          <cell r="H1053">
            <v>46228</v>
          </cell>
        </row>
        <row r="1054">
          <cell r="G1054" t="str">
            <v>JLG65096</v>
          </cell>
          <cell r="H1054">
            <v>46220</v>
          </cell>
        </row>
        <row r="1055">
          <cell r="G1055" t="str">
            <v>JDG65097</v>
          </cell>
          <cell r="H1055">
            <v>46219</v>
          </cell>
        </row>
        <row r="1056">
          <cell r="G1056" t="str">
            <v>JXG65098</v>
          </cell>
          <cell r="H1056">
            <v>46216</v>
          </cell>
        </row>
        <row r="1057">
          <cell r="G1057" t="str">
            <v>JLG65099</v>
          </cell>
          <cell r="H1057">
            <v>46228</v>
          </cell>
        </row>
        <row r="1058">
          <cell r="G1058" t="str">
            <v>JKG65100</v>
          </cell>
          <cell r="H1058">
            <v>46234</v>
          </cell>
        </row>
        <row r="1059">
          <cell r="G1059" t="str">
            <v>JZN65101</v>
          </cell>
          <cell r="H1059">
            <v>46222</v>
          </cell>
        </row>
        <row r="1060">
          <cell r="G1060" t="str">
            <v>JHG65102</v>
          </cell>
          <cell r="H1060">
            <v>46234</v>
          </cell>
        </row>
        <row r="1061">
          <cell r="G1061" t="str">
            <v>JHG64031</v>
          </cell>
          <cell r="H1061">
            <v>46228</v>
          </cell>
        </row>
        <row r="1062">
          <cell r="G1062" t="str">
            <v>JHG64028</v>
          </cell>
          <cell r="H1062">
            <v>46228</v>
          </cell>
        </row>
        <row r="1063">
          <cell r="G1063" t="str">
            <v>JLG65105</v>
          </cell>
          <cell r="H1063">
            <v>46228</v>
          </cell>
        </row>
        <row r="1064">
          <cell r="G1064" t="str">
            <v>JHG64033</v>
          </cell>
          <cell r="H1064">
            <v>46228</v>
          </cell>
        </row>
        <row r="1065">
          <cell r="G1065" t="str">
            <v>JKG64094</v>
          </cell>
          <cell r="H1065">
            <v>46216</v>
          </cell>
        </row>
        <row r="1066">
          <cell r="G1066" t="str">
            <v>JJB64025</v>
          </cell>
          <cell r="H1066">
            <v>46234</v>
          </cell>
        </row>
        <row r="1067">
          <cell r="G1067" t="str">
            <v>JKN64026</v>
          </cell>
          <cell r="H1067">
            <v>46234</v>
          </cell>
        </row>
        <row r="1068">
          <cell r="G1068" t="str">
            <v>JZN64027</v>
          </cell>
          <cell r="H1068">
            <v>46225</v>
          </cell>
        </row>
        <row r="1069">
          <cell r="G1069" t="str">
            <v>JMN65046</v>
          </cell>
          <cell r="H1069">
            <v>46219</v>
          </cell>
        </row>
        <row r="1070">
          <cell r="G1070" t="str">
            <v>JMG65025</v>
          </cell>
          <cell r="H1070">
            <v>46225</v>
          </cell>
        </row>
        <row r="1071">
          <cell r="G1071" t="str">
            <v>JMG65012</v>
          </cell>
          <cell r="H1071">
            <v>46225</v>
          </cell>
        </row>
        <row r="1072">
          <cell r="G1072" t="str">
            <v>JTG65033</v>
          </cell>
          <cell r="H1072">
            <v>46228</v>
          </cell>
        </row>
        <row r="1073">
          <cell r="G1073" t="str">
            <v>JMG65018</v>
          </cell>
          <cell r="H1073">
            <v>46219</v>
          </cell>
        </row>
        <row r="1074">
          <cell r="G1074" t="str">
            <v>JTG65029</v>
          </cell>
          <cell r="H1074">
            <v>46228</v>
          </cell>
        </row>
        <row r="1075">
          <cell r="G1075" t="str">
            <v>JJG65470</v>
          </cell>
          <cell r="H1075">
            <v>46228</v>
          </cell>
        </row>
        <row r="1076">
          <cell r="G1076" t="str">
            <v>JXN65847B</v>
          </cell>
          <cell r="H1076">
            <v>46203</v>
          </cell>
        </row>
        <row r="1077">
          <cell r="G1077" t="str">
            <v>JJN65891</v>
          </cell>
          <cell r="H1077">
            <v>46216</v>
          </cell>
        </row>
        <row r="1078">
          <cell r="G1078" t="str">
            <v>JKN65892</v>
          </cell>
          <cell r="H1078">
            <v>46216</v>
          </cell>
        </row>
        <row r="1079">
          <cell r="G1079" t="str">
            <v>JYN64276</v>
          </cell>
          <cell r="H1079">
            <v>46216</v>
          </cell>
        </row>
        <row r="1080">
          <cell r="G1080" t="str">
            <v>JYN64277</v>
          </cell>
          <cell r="H1080">
            <v>46216</v>
          </cell>
        </row>
        <row r="1081">
          <cell r="G1081" t="str">
            <v>JRG65682</v>
          </cell>
          <cell r="H1081">
            <v>46228</v>
          </cell>
        </row>
        <row r="1082">
          <cell r="G1082" t="str">
            <v>JDG65683</v>
          </cell>
          <cell r="H1082">
            <v>46213</v>
          </cell>
        </row>
        <row r="1083">
          <cell r="G1083" t="str">
            <v>JKN65684</v>
          </cell>
          <cell r="H1083">
            <v>46230</v>
          </cell>
        </row>
        <row r="1084">
          <cell r="G1084" t="str">
            <v>JKN65685</v>
          </cell>
          <cell r="H1084">
            <v>46230</v>
          </cell>
        </row>
        <row r="1085">
          <cell r="G1085" t="str">
            <v>JKN65686</v>
          </cell>
          <cell r="H1085">
            <v>46230</v>
          </cell>
        </row>
        <row r="1086">
          <cell r="G1086" t="str">
            <v>JKG65691</v>
          </cell>
          <cell r="H1086">
            <v>46228</v>
          </cell>
        </row>
        <row r="1087">
          <cell r="G1087" t="str">
            <v>JKN64624</v>
          </cell>
          <cell r="H1087">
            <v>46230</v>
          </cell>
        </row>
        <row r="1088">
          <cell r="G1088" t="str">
            <v>JKN65687</v>
          </cell>
          <cell r="H1088">
            <v>46228</v>
          </cell>
        </row>
        <row r="1089">
          <cell r="G1089" t="str">
            <v>JKG64626</v>
          </cell>
          <cell r="H1089">
            <v>46230</v>
          </cell>
        </row>
        <row r="1090">
          <cell r="G1090" t="str">
            <v>JHG64627</v>
          </cell>
          <cell r="H1090">
            <v>46228</v>
          </cell>
        </row>
        <row r="1091">
          <cell r="G1091" t="str">
            <v>JDG64029</v>
          </cell>
          <cell r="H1091">
            <v>46221</v>
          </cell>
        </row>
        <row r="1092">
          <cell r="G1092" t="str">
            <v>JKG64030</v>
          </cell>
          <cell r="H1092">
            <v>46228</v>
          </cell>
        </row>
        <row r="1093">
          <cell r="G1093" t="str">
            <v>JXG65109</v>
          </cell>
          <cell r="H1093">
            <v>46225</v>
          </cell>
        </row>
        <row r="1094">
          <cell r="G1094" t="str">
            <v>JLG65111</v>
          </cell>
          <cell r="H1094">
            <v>46218</v>
          </cell>
        </row>
        <row r="1095">
          <cell r="G1095" t="str">
            <v>JDG65112</v>
          </cell>
          <cell r="H1095">
            <v>46215</v>
          </cell>
        </row>
        <row r="1096">
          <cell r="G1096" t="str">
            <v>JNN65113</v>
          </cell>
          <cell r="H1096">
            <v>46215</v>
          </cell>
        </row>
        <row r="1097">
          <cell r="G1097" t="str">
            <v>JHN65114</v>
          </cell>
          <cell r="H1097">
            <v>46218</v>
          </cell>
        </row>
        <row r="1098">
          <cell r="G1098" t="str">
            <v>JMB65052</v>
          </cell>
          <cell r="H1098">
            <v>46228</v>
          </cell>
        </row>
        <row r="1099">
          <cell r="G1099" t="str">
            <v>JMG65058</v>
          </cell>
          <cell r="H1099">
            <v>46215</v>
          </cell>
        </row>
        <row r="1100">
          <cell r="G1100" t="str">
            <v>JNN65885</v>
          </cell>
          <cell r="H1100">
            <v>46221</v>
          </cell>
        </row>
        <row r="1101">
          <cell r="G1101" t="str">
            <v>JRN65887</v>
          </cell>
          <cell r="H1101">
            <v>46228</v>
          </cell>
        </row>
        <row r="1102">
          <cell r="G1102" t="str">
            <v>JTB65888</v>
          </cell>
          <cell r="H1102">
            <v>46218</v>
          </cell>
        </row>
        <row r="1103">
          <cell r="G1103" t="str">
            <v>JXN65889</v>
          </cell>
          <cell r="H1103">
            <v>46214</v>
          </cell>
        </row>
        <row r="1104">
          <cell r="G1104" t="str">
            <v>JRB65890</v>
          </cell>
          <cell r="H1104">
            <v>46228</v>
          </cell>
        </row>
        <row r="1105">
          <cell r="G1105" t="str">
            <v>JHG64888</v>
          </cell>
          <cell r="H1105">
            <v>46228</v>
          </cell>
        </row>
        <row r="1106">
          <cell r="G1106" t="str">
            <v>JJN64889</v>
          </cell>
          <cell r="H1106">
            <v>46230</v>
          </cell>
        </row>
        <row r="1107">
          <cell r="G1107" t="str">
            <v>JAN64890</v>
          </cell>
          <cell r="H1107">
            <v>46218</v>
          </cell>
        </row>
        <row r="1108">
          <cell r="G1108" t="str">
            <v>JAG64891</v>
          </cell>
          <cell r="H1108">
            <v>46218</v>
          </cell>
        </row>
        <row r="1109">
          <cell r="G1109" t="str">
            <v>JYN64263</v>
          </cell>
          <cell r="H1109">
            <v>46228</v>
          </cell>
        </row>
        <row r="1110">
          <cell r="G1110" t="str">
            <v>JXN65477A</v>
          </cell>
          <cell r="H1110">
            <v>46214</v>
          </cell>
        </row>
        <row r="1111">
          <cell r="G1111" t="str">
            <v>JXN65477B</v>
          </cell>
          <cell r="H1111">
            <v>46214</v>
          </cell>
        </row>
        <row r="1112">
          <cell r="G1112" t="str">
            <v>JXG65476</v>
          </cell>
          <cell r="H1112">
            <v>46218</v>
          </cell>
        </row>
        <row r="1113">
          <cell r="G1113" t="str">
            <v>JXG64528</v>
          </cell>
          <cell r="H1113">
            <v>46225</v>
          </cell>
        </row>
        <row r="1114">
          <cell r="G1114" t="str">
            <v>JXN65475</v>
          </cell>
          <cell r="H1114">
            <v>46218</v>
          </cell>
        </row>
        <row r="1115">
          <cell r="G1115" t="str">
            <v>JZN64529</v>
          </cell>
          <cell r="H1115">
            <v>46218</v>
          </cell>
        </row>
        <row r="1116">
          <cell r="G1116" t="str">
            <v>JKG65478</v>
          </cell>
          <cell r="H1116">
            <v>46230</v>
          </cell>
        </row>
        <row r="1117">
          <cell r="G1117" t="str">
            <v>JKB64526</v>
          </cell>
          <cell r="H1117">
            <v>46214</v>
          </cell>
        </row>
        <row r="1118">
          <cell r="G1118" t="str">
            <v>JKB65473</v>
          </cell>
          <cell r="H1118">
            <v>46228</v>
          </cell>
        </row>
        <row r="1119">
          <cell r="G1119" t="str">
            <v>JKB65472</v>
          </cell>
          <cell r="H1119">
            <v>46230</v>
          </cell>
        </row>
        <row r="1120">
          <cell r="G1120" t="str">
            <v>JEB63424</v>
          </cell>
          <cell r="H1120">
            <v>46215</v>
          </cell>
        </row>
        <row r="1121">
          <cell r="G1121" t="str">
            <v>JKN65480A</v>
          </cell>
          <cell r="H1121">
            <v>46214</v>
          </cell>
        </row>
        <row r="1122">
          <cell r="G1122" t="str">
            <v>JKN65480B</v>
          </cell>
          <cell r="H1122">
            <v>46214</v>
          </cell>
        </row>
        <row r="1123">
          <cell r="G1123" t="str">
            <v>JKG65893</v>
          </cell>
          <cell r="H1123">
            <v>46234</v>
          </cell>
        </row>
        <row r="1124">
          <cell r="G1124" t="str">
            <v>JQG65894</v>
          </cell>
          <cell r="H1124">
            <v>46244</v>
          </cell>
        </row>
        <row r="1125">
          <cell r="G1125" t="str">
            <v>JQG65895</v>
          </cell>
          <cell r="H1125">
            <v>46244</v>
          </cell>
        </row>
        <row r="1126">
          <cell r="G1126" t="str">
            <v>JXG65690</v>
          </cell>
          <cell r="H1126">
            <v>46223</v>
          </cell>
        </row>
        <row r="1127">
          <cell r="G1127" t="str">
            <v>JRB65688</v>
          </cell>
          <cell r="H1127">
            <v>46234</v>
          </cell>
        </row>
        <row r="1128">
          <cell r="G1128" t="str">
            <v>JHN65689</v>
          </cell>
          <cell r="H1128">
            <v>46234</v>
          </cell>
        </row>
        <row r="1129">
          <cell r="G1129" t="str">
            <v>JMB65054</v>
          </cell>
          <cell r="H1129">
            <v>46234</v>
          </cell>
        </row>
        <row r="1130">
          <cell r="G1130" t="str">
            <v>JGN65116</v>
          </cell>
          <cell r="H1130">
            <v>46231</v>
          </cell>
        </row>
        <row r="1131">
          <cell r="G1131" t="str">
            <v>JHN64034</v>
          </cell>
          <cell r="H1131">
            <v>46234</v>
          </cell>
        </row>
        <row r="1132">
          <cell r="G1132" t="str">
            <v>JTG65118</v>
          </cell>
          <cell r="H1132">
            <v>46244</v>
          </cell>
        </row>
        <row r="1133">
          <cell r="G1133" t="str">
            <v>JRG65119</v>
          </cell>
          <cell r="H1133">
            <v>46244</v>
          </cell>
        </row>
        <row r="1134">
          <cell r="G1134" t="str">
            <v>JDG65120</v>
          </cell>
          <cell r="H1134">
            <v>46223</v>
          </cell>
        </row>
        <row r="1135">
          <cell r="G1135" t="str">
            <v>JVG65121</v>
          </cell>
          <cell r="H1135">
            <v>46231</v>
          </cell>
        </row>
        <row r="1136">
          <cell r="G1136" t="str">
            <v>JAB64530</v>
          </cell>
          <cell r="H1136">
            <v>46234</v>
          </cell>
        </row>
        <row r="1137">
          <cell r="G1137" t="str">
            <v>JTB65482</v>
          </cell>
          <cell r="H1137">
            <v>46244</v>
          </cell>
        </row>
        <row r="1138">
          <cell r="G1138" t="str">
            <v>JJN64550</v>
          </cell>
          <cell r="H1138">
            <v>46233</v>
          </cell>
        </row>
        <row r="1139">
          <cell r="G1139" t="str">
            <v>JHB65598</v>
          </cell>
          <cell r="H1139">
            <v>46234</v>
          </cell>
        </row>
        <row r="1140">
          <cell r="G1140" t="str">
            <v>JHN65529</v>
          </cell>
          <cell r="H1140">
            <v>46232</v>
          </cell>
        </row>
        <row r="1141">
          <cell r="G1141" t="str">
            <v>JMN65553</v>
          </cell>
          <cell r="H1141">
            <v>46223</v>
          </cell>
        </row>
        <row r="1142">
          <cell r="G1142" t="str">
            <v>JMG65554</v>
          </cell>
          <cell r="H1142">
            <v>46223</v>
          </cell>
        </row>
        <row r="1143">
          <cell r="G1143" t="str">
            <v>JMB65588</v>
          </cell>
          <cell r="H1143">
            <v>46232</v>
          </cell>
        </row>
        <row r="1144">
          <cell r="G1144" t="str">
            <v>JMG65533</v>
          </cell>
          <cell r="H1144">
            <v>46228</v>
          </cell>
        </row>
        <row r="1145">
          <cell r="G1145" t="str">
            <v>JKB65139</v>
          </cell>
          <cell r="H1145">
            <v>46225</v>
          </cell>
        </row>
      </sheetData>
      <sheetData sheetId="11"/>
      <sheetData sheetId="12"/>
      <sheetData sheetId="13"/>
      <sheetData sheetId="14"/>
      <sheetData sheetId="15">
        <row r="1">
          <cell r="A1" t="str">
            <v>款号（纯棉）</v>
          </cell>
          <cell r="B1" t="str">
            <v>发出检测日期</v>
          </cell>
          <cell r="C1" t="str">
            <v>是否纯棉</v>
          </cell>
          <cell r="D1" t="str">
            <v>报告号/文件名称</v>
          </cell>
        </row>
        <row r="1">
          <cell r="H1" t="str">
            <v>款号（A类）</v>
          </cell>
          <cell r="I1" t="str">
            <v>发出检测时间</v>
          </cell>
          <cell r="J1" t="str">
            <v>报告号/文件名称</v>
          </cell>
        </row>
        <row r="2">
          <cell r="A2" t="str">
            <v>JCG63802</v>
          </cell>
          <cell r="B2">
            <v>46186</v>
          </cell>
          <cell r="C2" t="str">
            <v>是</v>
          </cell>
          <cell r="D2" t="str">
            <v>2026年秋冬纯棉报告号：260653303</v>
          </cell>
        </row>
        <row r="2">
          <cell r="H2" t="str">
            <v>JJG63801</v>
          </cell>
          <cell r="I2">
            <v>46186</v>
          </cell>
          <cell r="J2" t="str">
            <v>2026年秋冬A类报告号：260661531</v>
          </cell>
        </row>
        <row r="3">
          <cell r="A3" t="str">
            <v>JTG63803</v>
          </cell>
          <cell r="B3">
            <v>46186</v>
          </cell>
          <cell r="C3" t="str">
            <v>是</v>
          </cell>
          <cell r="D3" t="str">
            <v>2026年秋冬纯棉报告号：260653303</v>
          </cell>
        </row>
        <row r="3">
          <cell r="H3" t="str">
            <v>JCG63802</v>
          </cell>
          <cell r="I3">
            <v>46186</v>
          </cell>
          <cell r="J3" t="str">
            <v>2026年秋冬A类报告号：260661531</v>
          </cell>
        </row>
        <row r="4">
          <cell r="A4" t="str">
            <v>JCB63804</v>
          </cell>
          <cell r="B4">
            <v>46186</v>
          </cell>
          <cell r="C4" t="str">
            <v>是</v>
          </cell>
          <cell r="D4" t="str">
            <v>2026年秋冬纯棉报告号：260653303</v>
          </cell>
        </row>
        <row r="4">
          <cell r="H4" t="str">
            <v>JCB63804</v>
          </cell>
          <cell r="I4">
            <v>46186</v>
          </cell>
          <cell r="J4" t="str">
            <v>2026年秋冬A类报告号：260661531</v>
          </cell>
        </row>
        <row r="5">
          <cell r="A5" t="str">
            <v>JTB63808</v>
          </cell>
          <cell r="B5">
            <v>46186</v>
          </cell>
          <cell r="C5" t="str">
            <v>是</v>
          </cell>
          <cell r="D5" t="str">
            <v>2026年秋冬纯棉报告号：260653303</v>
          </cell>
        </row>
        <row r="5">
          <cell r="H5" t="str">
            <v>JMB63805</v>
          </cell>
          <cell r="I5">
            <v>46186</v>
          </cell>
          <cell r="J5" t="str">
            <v>2026年秋冬A类报告号：260661531</v>
          </cell>
        </row>
        <row r="6">
          <cell r="A6" t="str">
            <v>JKB63510</v>
          </cell>
          <cell r="B6">
            <v>46186</v>
          </cell>
          <cell r="C6" t="str">
            <v>是</v>
          </cell>
          <cell r="D6" t="str">
            <v>2026年秋冬纯棉报告号：260653303</v>
          </cell>
        </row>
        <row r="6">
          <cell r="H6" t="str">
            <v>JXB63807</v>
          </cell>
          <cell r="I6">
            <v>46186</v>
          </cell>
          <cell r="J6" t="str">
            <v>2026年秋冬A类报告号：260661531</v>
          </cell>
        </row>
        <row r="7">
          <cell r="A7" t="str">
            <v>JXG63517</v>
          </cell>
          <cell r="B7">
            <v>46186</v>
          </cell>
          <cell r="C7" t="str">
            <v>是</v>
          </cell>
          <cell r="D7" t="str">
            <v>2026年秋冬纯棉报告号：260653303</v>
          </cell>
        </row>
        <row r="7">
          <cell r="H7" t="str">
            <v>JTB63808</v>
          </cell>
          <cell r="I7">
            <v>46186</v>
          </cell>
          <cell r="J7" t="str">
            <v>2026年秋冬A类报告号：260661531</v>
          </cell>
        </row>
        <row r="8">
          <cell r="A8" t="str">
            <v>JXG63603</v>
          </cell>
          <cell r="B8">
            <v>46186</v>
          </cell>
          <cell r="C8" t="str">
            <v>是</v>
          </cell>
          <cell r="D8" t="str">
            <v>2026年秋冬纯棉报告号：260653303</v>
          </cell>
        </row>
        <row r="8">
          <cell r="H8" t="str">
            <v>JTB63809</v>
          </cell>
          <cell r="I8">
            <v>46186</v>
          </cell>
          <cell r="J8" t="str">
            <v>2026年秋冬A类报告号：260661531</v>
          </cell>
        </row>
        <row r="9">
          <cell r="A9" t="str">
            <v>JLG63607</v>
          </cell>
          <cell r="B9">
            <v>46186</v>
          </cell>
          <cell r="C9" t="str">
            <v>是</v>
          </cell>
          <cell r="D9" t="str">
            <v>2026年秋冬纯棉报告号：260653303</v>
          </cell>
        </row>
        <row r="9">
          <cell r="H9" t="str">
            <v>JJN65801</v>
          </cell>
          <cell r="I9">
            <v>46186</v>
          </cell>
          <cell r="J9" t="str">
            <v>2026年秋冬A类报告号：260661531</v>
          </cell>
        </row>
        <row r="10">
          <cell r="A10" t="str">
            <v>JMG63608</v>
          </cell>
          <cell r="B10">
            <v>46186</v>
          </cell>
          <cell r="C10" t="str">
            <v>是</v>
          </cell>
          <cell r="D10" t="str">
            <v>2026年秋冬纯棉报告号：260653303</v>
          </cell>
        </row>
        <row r="10">
          <cell r="H10" t="str">
            <v>JLG63811</v>
          </cell>
          <cell r="I10">
            <v>46186</v>
          </cell>
          <cell r="J10" t="str">
            <v>2026年秋冬A类报告号：260661531</v>
          </cell>
        </row>
        <row r="11">
          <cell r="A11" t="str">
            <v>JLG63612</v>
          </cell>
          <cell r="B11">
            <v>46186</v>
          </cell>
          <cell r="C11" t="str">
            <v>是</v>
          </cell>
          <cell r="D11" t="str">
            <v>2026年秋冬纯棉报告号：260653303</v>
          </cell>
        </row>
        <row r="11">
          <cell r="H11" t="str">
            <v>JJG65001</v>
          </cell>
          <cell r="I11">
            <v>46186</v>
          </cell>
          <cell r="J11" t="str">
            <v>2026年秋冬A类报告号：260661531</v>
          </cell>
        </row>
        <row r="12">
          <cell r="A12" t="str">
            <v>JCG63613</v>
          </cell>
          <cell r="B12">
            <v>46186</v>
          </cell>
          <cell r="C12" t="str">
            <v>是</v>
          </cell>
          <cell r="D12" t="str">
            <v>2026年秋冬纯棉报告号：260653303</v>
          </cell>
        </row>
        <row r="12">
          <cell r="H12" t="str">
            <v>JKG65002</v>
          </cell>
          <cell r="I12">
            <v>46186</v>
          </cell>
          <cell r="J12" t="str">
            <v>2026年秋冬A类报告号：260661531</v>
          </cell>
        </row>
        <row r="13">
          <cell r="A13" t="str">
            <v>JKB63620</v>
          </cell>
          <cell r="B13">
            <v>46186</v>
          </cell>
          <cell r="C13" t="str">
            <v>是</v>
          </cell>
          <cell r="D13" t="str">
            <v>2026年秋冬纯棉报告号：260653303</v>
          </cell>
        </row>
        <row r="13">
          <cell r="H13" t="str">
            <v>JDG63503</v>
          </cell>
          <cell r="I13">
            <v>46186</v>
          </cell>
          <cell r="J13" t="str">
            <v>2026年秋冬A类报告号：260661531</v>
          </cell>
        </row>
        <row r="14">
          <cell r="A14" t="str">
            <v>JQG63002</v>
          </cell>
          <cell r="B14">
            <v>46186</v>
          </cell>
          <cell r="C14" t="str">
            <v>是</v>
          </cell>
          <cell r="D14" t="str">
            <v>2026年秋冬纯棉报告号：260653303</v>
          </cell>
        </row>
        <row r="14">
          <cell r="H14" t="str">
            <v>JKG63506</v>
          </cell>
          <cell r="I14">
            <v>46186</v>
          </cell>
          <cell r="J14" t="str">
            <v>2026年秋冬A类报告号：260661531</v>
          </cell>
        </row>
        <row r="15">
          <cell r="A15" t="str">
            <v>JJG63003</v>
          </cell>
          <cell r="B15">
            <v>46186</v>
          </cell>
          <cell r="C15" t="str">
            <v>是</v>
          </cell>
          <cell r="D15" t="str">
            <v>2026年秋冬纯棉报告号：260653303</v>
          </cell>
        </row>
        <row r="15">
          <cell r="H15" t="str">
            <v>JKB63507</v>
          </cell>
          <cell r="I15">
            <v>46186</v>
          </cell>
          <cell r="J15" t="str">
            <v>2026年秋冬A类报告号：260661531</v>
          </cell>
        </row>
        <row r="16">
          <cell r="A16" t="str">
            <v>JJG63004</v>
          </cell>
          <cell r="B16">
            <v>46186</v>
          </cell>
          <cell r="C16" t="str">
            <v>是</v>
          </cell>
          <cell r="D16" t="str">
            <v>2026年秋冬纯棉报告号：260653303</v>
          </cell>
        </row>
        <row r="16">
          <cell r="H16" t="str">
            <v>JLB63508</v>
          </cell>
          <cell r="I16">
            <v>46186</v>
          </cell>
          <cell r="J16" t="str">
            <v>2026年秋冬A类报告号：260661531</v>
          </cell>
        </row>
        <row r="17">
          <cell r="A17" t="str">
            <v>JTG63536</v>
          </cell>
          <cell r="B17">
            <v>46186</v>
          </cell>
          <cell r="C17" t="str">
            <v>是</v>
          </cell>
          <cell r="D17" t="str">
            <v>2026年秋冬纯棉报告号：260653303</v>
          </cell>
        </row>
        <row r="17">
          <cell r="H17" t="str">
            <v>JLB63509</v>
          </cell>
          <cell r="I17">
            <v>46186</v>
          </cell>
          <cell r="J17" t="str">
            <v>2026年秋冬A类报告号：260661531</v>
          </cell>
        </row>
        <row r="18">
          <cell r="A18" t="str">
            <v>JQG63527</v>
          </cell>
          <cell r="B18">
            <v>46186</v>
          </cell>
          <cell r="C18" t="str">
            <v>是</v>
          </cell>
          <cell r="D18" t="str">
            <v>2026年秋冬纯棉报告号：260653303</v>
          </cell>
        </row>
        <row r="18">
          <cell r="H18" t="str">
            <v>JKB63510</v>
          </cell>
          <cell r="I18">
            <v>46186</v>
          </cell>
          <cell r="J18" t="str">
            <v>2026年秋冬A类报告号：260661531</v>
          </cell>
        </row>
        <row r="19">
          <cell r="A19" t="str">
            <v>JQG63530</v>
          </cell>
          <cell r="B19">
            <v>46186</v>
          </cell>
          <cell r="C19" t="str">
            <v>是</v>
          </cell>
          <cell r="D19" t="str">
            <v>2026年秋冬纯棉报告号：260653303</v>
          </cell>
        </row>
        <row r="19">
          <cell r="H19" t="str">
            <v>JXG63517</v>
          </cell>
          <cell r="I19">
            <v>46186</v>
          </cell>
          <cell r="J19" t="str">
            <v>2026年秋冬A类报告号：260661531</v>
          </cell>
        </row>
        <row r="20">
          <cell r="A20" t="str">
            <v>JHG63528</v>
          </cell>
          <cell r="B20">
            <v>46186</v>
          </cell>
          <cell r="C20" t="str">
            <v>是</v>
          </cell>
          <cell r="D20" t="str">
            <v>2026年秋冬纯棉报告号：260653303</v>
          </cell>
        </row>
        <row r="20">
          <cell r="H20" t="str">
            <v>JXG63603</v>
          </cell>
          <cell r="I20">
            <v>46186</v>
          </cell>
          <cell r="J20" t="str">
            <v>2026年秋冬A类报告号：260661531</v>
          </cell>
        </row>
        <row r="21">
          <cell r="A21" t="str">
            <v>JHG63529</v>
          </cell>
          <cell r="B21">
            <v>46186</v>
          </cell>
          <cell r="C21" t="str">
            <v>是</v>
          </cell>
          <cell r="D21" t="str">
            <v>2026年秋冬纯棉报告号：260653303</v>
          </cell>
        </row>
        <row r="21">
          <cell r="H21" t="str">
            <v>JLG63604</v>
          </cell>
          <cell r="I21">
            <v>46186</v>
          </cell>
          <cell r="J21" t="str">
            <v>2026年秋冬A类报告号：260661531</v>
          </cell>
        </row>
        <row r="22">
          <cell r="A22" t="str">
            <v>JCG63531</v>
          </cell>
          <cell r="B22">
            <v>46186</v>
          </cell>
          <cell r="C22" t="str">
            <v>是</v>
          </cell>
          <cell r="D22" t="str">
            <v>2026年秋冬纯棉报告号：260653303</v>
          </cell>
        </row>
        <row r="22">
          <cell r="H22" t="str">
            <v>JXG63605</v>
          </cell>
          <cell r="I22">
            <v>46186</v>
          </cell>
          <cell r="J22" t="str">
            <v>2026年秋冬A类报告号：260661531</v>
          </cell>
        </row>
        <row r="23">
          <cell r="A23" t="str">
            <v>JTG63532</v>
          </cell>
          <cell r="B23">
            <v>46186</v>
          </cell>
          <cell r="C23" t="str">
            <v>是</v>
          </cell>
          <cell r="D23" t="str">
            <v>2026年秋冬纯棉报告号：260653303</v>
          </cell>
        </row>
        <row r="23">
          <cell r="H23" t="str">
            <v>JGG63606</v>
          </cell>
          <cell r="I23">
            <v>46186</v>
          </cell>
          <cell r="J23" t="str">
            <v>2026年秋冬A类报告号：260661531</v>
          </cell>
        </row>
        <row r="24">
          <cell r="A24" t="str">
            <v>JTG63814</v>
          </cell>
          <cell r="B24">
            <v>46186</v>
          </cell>
          <cell r="C24" t="str">
            <v>是</v>
          </cell>
          <cell r="D24" t="str">
            <v>2026年秋冬纯棉报告号：260653303</v>
          </cell>
        </row>
        <row r="24">
          <cell r="H24" t="str">
            <v>JMG63608</v>
          </cell>
          <cell r="I24">
            <v>46186</v>
          </cell>
          <cell r="J24" t="str">
            <v>2026年秋冬A类报告号：260661531</v>
          </cell>
        </row>
        <row r="25">
          <cell r="A25" t="str">
            <v>JJG63006</v>
          </cell>
          <cell r="B25">
            <v>46186</v>
          </cell>
          <cell r="C25" t="str">
            <v>是</v>
          </cell>
          <cell r="D25" t="str">
            <v>2026年秋冬纯棉报告号：260653303</v>
          </cell>
        </row>
        <row r="25">
          <cell r="H25" t="str">
            <v>JCG63613</v>
          </cell>
          <cell r="I25">
            <v>46186</v>
          </cell>
          <cell r="J25" t="str">
            <v>2026年秋冬A类报告号：260661531</v>
          </cell>
        </row>
        <row r="26">
          <cell r="A26" t="str">
            <v>JQG63007</v>
          </cell>
          <cell r="B26">
            <v>46186</v>
          </cell>
          <cell r="C26" t="str">
            <v>是</v>
          </cell>
          <cell r="D26" t="str">
            <v>2026年秋冬纯棉报告号：260653303</v>
          </cell>
        </row>
        <row r="26">
          <cell r="H26" t="str">
            <v>JAN64505</v>
          </cell>
          <cell r="I26">
            <v>46186</v>
          </cell>
          <cell r="J26" t="str">
            <v>2026年秋冬A类报告号：260661531</v>
          </cell>
        </row>
        <row r="27">
          <cell r="A27" t="str">
            <v>JCG63015</v>
          </cell>
          <cell r="B27">
            <v>46186</v>
          </cell>
          <cell r="C27" t="str">
            <v>是</v>
          </cell>
          <cell r="D27" t="str">
            <v>2026年秋冬纯棉报告号：260653303</v>
          </cell>
        </row>
        <row r="27">
          <cell r="H27" t="str">
            <v>JAN64506</v>
          </cell>
          <cell r="I27">
            <v>46186</v>
          </cell>
          <cell r="J27" t="str">
            <v>2026年秋冬A类报告号：260661531</v>
          </cell>
        </row>
        <row r="28">
          <cell r="A28" t="str">
            <v>JTG63621</v>
          </cell>
          <cell r="B28">
            <v>46186</v>
          </cell>
          <cell r="C28" t="str">
            <v>是</v>
          </cell>
          <cell r="D28" t="str">
            <v>2026年秋冬纯棉报告号：260653303</v>
          </cell>
        </row>
        <row r="28">
          <cell r="H28" t="str">
            <v>JKG63614</v>
          </cell>
          <cell r="I28">
            <v>46186</v>
          </cell>
          <cell r="J28" t="str">
            <v>2026年秋冬A类报告号：260661531</v>
          </cell>
        </row>
        <row r="29">
          <cell r="A29" t="str">
            <v>JKG63626</v>
          </cell>
          <cell r="B29">
            <v>46186</v>
          </cell>
          <cell r="C29" t="str">
            <v>是</v>
          </cell>
          <cell r="D29" t="str">
            <v>2026年秋冬纯棉报告号：260653303</v>
          </cell>
        </row>
        <row r="29">
          <cell r="H29" t="str">
            <v>JJG63616</v>
          </cell>
          <cell r="I29">
            <v>46186</v>
          </cell>
          <cell r="J29" t="str">
            <v>2026年秋冬A类报告号：260661531</v>
          </cell>
        </row>
        <row r="30">
          <cell r="A30" t="str">
            <v>JKG63627</v>
          </cell>
          <cell r="B30">
            <v>46186</v>
          </cell>
          <cell r="C30" t="str">
            <v>是</v>
          </cell>
          <cell r="D30" t="str">
            <v>2026年秋冬纯棉报告号：260653303</v>
          </cell>
        </row>
        <row r="30">
          <cell r="H30" t="str">
            <v>JJG63617</v>
          </cell>
          <cell r="I30">
            <v>46186</v>
          </cell>
          <cell r="J30" t="str">
            <v>2026年秋冬A类报告号：260661531</v>
          </cell>
        </row>
        <row r="31">
          <cell r="A31" t="str">
            <v>JTG63629</v>
          </cell>
          <cell r="B31">
            <v>46186</v>
          </cell>
          <cell r="C31" t="str">
            <v>是</v>
          </cell>
          <cell r="D31" t="str">
            <v>2026年秋冬纯棉报告号：260653303</v>
          </cell>
        </row>
        <row r="31">
          <cell r="H31" t="str">
            <v>JKB63620</v>
          </cell>
          <cell r="I31">
            <v>46186</v>
          </cell>
          <cell r="J31" t="str">
            <v>2026年秋冬A类报告号：260661531</v>
          </cell>
        </row>
        <row r="32">
          <cell r="A32" t="str">
            <v>JTG63630</v>
          </cell>
          <cell r="B32">
            <v>46186</v>
          </cell>
          <cell r="C32" t="str">
            <v>是</v>
          </cell>
          <cell r="D32" t="str">
            <v>2026年秋冬纯棉报告号：260653303</v>
          </cell>
        </row>
        <row r="32">
          <cell r="H32" t="str">
            <v>JQG63002</v>
          </cell>
          <cell r="I32">
            <v>46186</v>
          </cell>
          <cell r="J32" t="str">
            <v>2026年秋冬A类报告号：260661531</v>
          </cell>
        </row>
        <row r="33">
          <cell r="A33" t="str">
            <v>JJG63632</v>
          </cell>
          <cell r="B33">
            <v>46186</v>
          </cell>
          <cell r="C33" t="str">
            <v>是</v>
          </cell>
          <cell r="D33" t="str">
            <v>2026年秋冬纯棉报告号：260653303</v>
          </cell>
        </row>
        <row r="33">
          <cell r="H33" t="str">
            <v>JJG63003</v>
          </cell>
          <cell r="I33">
            <v>46186</v>
          </cell>
          <cell r="J33" t="str">
            <v>2026年秋冬A类报告号：260661531</v>
          </cell>
        </row>
        <row r="34">
          <cell r="A34" t="str">
            <v>JCG63633</v>
          </cell>
          <cell r="B34">
            <v>46186</v>
          </cell>
          <cell r="C34" t="str">
            <v>是</v>
          </cell>
          <cell r="D34" t="str">
            <v>2026年秋冬纯棉报告号：260653303</v>
          </cell>
        </row>
        <row r="34">
          <cell r="H34" t="str">
            <v>JMG65003</v>
          </cell>
          <cell r="I34">
            <v>46186</v>
          </cell>
          <cell r="J34" t="str">
            <v>2026年秋冬A类报告号：260661531</v>
          </cell>
        </row>
        <row r="35">
          <cell r="A35" t="str">
            <v>JXG63634</v>
          </cell>
          <cell r="B35">
            <v>46186</v>
          </cell>
          <cell r="C35" t="str">
            <v>是</v>
          </cell>
          <cell r="D35" t="str">
            <v>2026年秋冬纯棉报告号：260653303</v>
          </cell>
        </row>
        <row r="35">
          <cell r="H35" t="str">
            <v>JQG65004</v>
          </cell>
          <cell r="I35">
            <v>46186</v>
          </cell>
          <cell r="J35" t="str">
            <v>2026年秋冬A类报告号：260661531</v>
          </cell>
        </row>
        <row r="36">
          <cell r="A36" t="str">
            <v>JGB63635</v>
          </cell>
          <cell r="B36">
            <v>46186</v>
          </cell>
          <cell r="C36" t="str">
            <v>是</v>
          </cell>
          <cell r="D36" t="str">
            <v>2026年秋冬纯棉报告号：260653303</v>
          </cell>
        </row>
        <row r="36">
          <cell r="H36" t="str">
            <v>JMG65802</v>
          </cell>
          <cell r="I36">
            <v>46186</v>
          </cell>
          <cell r="J36" t="str">
            <v>2026年秋冬A类报告号：260661531</v>
          </cell>
        </row>
        <row r="37">
          <cell r="A37" t="str">
            <v>JRG63543</v>
          </cell>
          <cell r="B37">
            <v>46186</v>
          </cell>
          <cell r="C37" t="str">
            <v>是</v>
          </cell>
          <cell r="D37" t="str">
            <v>2026年秋冬纯棉报告号：260653303</v>
          </cell>
        </row>
        <row r="37">
          <cell r="H37" t="str">
            <v>JKG65803</v>
          </cell>
          <cell r="I37">
            <v>46186</v>
          </cell>
          <cell r="J37" t="str">
            <v>2026年秋冬A类报告号：260661531</v>
          </cell>
        </row>
        <row r="38">
          <cell r="A38" t="str">
            <v>JCG63545</v>
          </cell>
          <cell r="B38">
            <v>46186</v>
          </cell>
          <cell r="C38" t="str">
            <v>是</v>
          </cell>
          <cell r="D38" t="str">
            <v>2026年秋冬纯棉报告号：260653303</v>
          </cell>
        </row>
        <row r="38">
          <cell r="H38" t="str">
            <v>JQG65804</v>
          </cell>
          <cell r="I38">
            <v>46186</v>
          </cell>
          <cell r="J38" t="str">
            <v>2026年秋冬A类报告号：260661531</v>
          </cell>
        </row>
        <row r="39">
          <cell r="A39" t="str">
            <v>JKN63546</v>
          </cell>
          <cell r="B39">
            <v>46186</v>
          </cell>
          <cell r="C39" t="str">
            <v>是</v>
          </cell>
          <cell r="D39" t="str">
            <v>2026年秋冬纯棉报告号：260653303</v>
          </cell>
        </row>
        <row r="39">
          <cell r="H39" t="str">
            <v>JQG65805</v>
          </cell>
          <cell r="I39">
            <v>46186</v>
          </cell>
          <cell r="J39" t="str">
            <v>2026年秋冬A类报告号：260661531</v>
          </cell>
        </row>
        <row r="40">
          <cell r="A40" t="str">
            <v>JXG63550</v>
          </cell>
          <cell r="B40">
            <v>46186</v>
          </cell>
          <cell r="C40" t="str">
            <v>是</v>
          </cell>
          <cell r="D40" t="str">
            <v>2026年秋冬纯棉报告号：260653303</v>
          </cell>
        </row>
        <row r="40">
          <cell r="H40" t="str">
            <v>JAG64817</v>
          </cell>
          <cell r="I40">
            <v>46186</v>
          </cell>
          <cell r="J40" t="str">
            <v>2026年秋冬A类报告号：260661531</v>
          </cell>
        </row>
        <row r="41">
          <cell r="A41" t="str">
            <v>JJG63817</v>
          </cell>
          <cell r="B41">
            <v>46186</v>
          </cell>
          <cell r="C41" t="str">
            <v>是</v>
          </cell>
          <cell r="D41" t="str">
            <v>2026年秋冬纯棉报告号：260653303</v>
          </cell>
        </row>
        <row r="41">
          <cell r="H41" t="str">
            <v>JHN63535</v>
          </cell>
          <cell r="I41">
            <v>46186</v>
          </cell>
          <cell r="J41" t="str">
            <v>2026年秋冬A类报告号：260661531</v>
          </cell>
        </row>
        <row r="42">
          <cell r="A42" t="str">
            <v>JLG63820</v>
          </cell>
          <cell r="B42">
            <v>46186</v>
          </cell>
          <cell r="C42" t="str">
            <v>是</v>
          </cell>
          <cell r="D42" t="str">
            <v>2026年秋冬纯棉报告号：260653303</v>
          </cell>
        </row>
        <row r="42">
          <cell r="H42" t="str">
            <v>JTG63536</v>
          </cell>
          <cell r="I42">
            <v>46186</v>
          </cell>
          <cell r="J42" t="str">
            <v>2026年秋冬A类报告号：260661531</v>
          </cell>
        </row>
        <row r="43">
          <cell r="A43" t="str">
            <v>JTG63822</v>
          </cell>
          <cell r="B43">
            <v>46186</v>
          </cell>
          <cell r="C43" t="str">
            <v>是</v>
          </cell>
          <cell r="D43" t="str">
            <v>2026年秋冬纯棉报告号：260653303</v>
          </cell>
        </row>
        <row r="43">
          <cell r="H43" t="str">
            <v>JKN63537</v>
          </cell>
          <cell r="I43">
            <v>46186</v>
          </cell>
          <cell r="J43" t="str">
            <v>2026年秋冬A类报告号：260661531</v>
          </cell>
        </row>
        <row r="44">
          <cell r="A44" t="str">
            <v>JJG63806</v>
          </cell>
          <cell r="B44">
            <v>46186</v>
          </cell>
          <cell r="C44" t="str">
            <v>是</v>
          </cell>
          <cell r="D44" t="str">
            <v>2026年秋冬纯棉报告号：260653303</v>
          </cell>
        </row>
        <row r="44">
          <cell r="H44" t="str">
            <v>JXG63526</v>
          </cell>
          <cell r="I44">
            <v>46186</v>
          </cell>
          <cell r="J44" t="str">
            <v>2026年秋冬A类报告号：260661531</v>
          </cell>
        </row>
        <row r="45">
          <cell r="A45" t="str">
            <v>JTG63825</v>
          </cell>
          <cell r="B45">
            <v>46186</v>
          </cell>
          <cell r="C45" t="str">
            <v>是</v>
          </cell>
          <cell r="D45" t="str">
            <v>2026年秋冬纯棉报告号：260653303</v>
          </cell>
        </row>
        <row r="45">
          <cell r="H45" t="str">
            <v>JQG63527</v>
          </cell>
          <cell r="I45">
            <v>46186</v>
          </cell>
          <cell r="J45" t="str">
            <v>2026年秋冬A类报告号：260661531</v>
          </cell>
        </row>
        <row r="46">
          <cell r="A46" t="str">
            <v>JTG63826</v>
          </cell>
          <cell r="B46">
            <v>46186</v>
          </cell>
          <cell r="C46" t="str">
            <v>是</v>
          </cell>
          <cell r="D46" t="str">
            <v>2026年秋冬纯棉报告号：260653303</v>
          </cell>
        </row>
        <row r="46">
          <cell r="H46" t="str">
            <v>JQG63530</v>
          </cell>
          <cell r="I46">
            <v>46186</v>
          </cell>
          <cell r="J46" t="str">
            <v>2026年秋冬A类报告号：260661531</v>
          </cell>
        </row>
        <row r="47">
          <cell r="A47" t="str">
            <v>JJB63637</v>
          </cell>
          <cell r="B47">
            <v>46186</v>
          </cell>
          <cell r="C47" t="str">
            <v>是</v>
          </cell>
          <cell r="D47" t="str">
            <v>2026年秋冬纯棉报告号：260653303</v>
          </cell>
        </row>
        <row r="47">
          <cell r="H47" t="str">
            <v>JHG63528</v>
          </cell>
          <cell r="I47">
            <v>46186</v>
          </cell>
          <cell r="J47" t="str">
            <v>2026年秋冬A类报告号：260661531</v>
          </cell>
        </row>
        <row r="48">
          <cell r="A48" t="str">
            <v>JJB63638</v>
          </cell>
          <cell r="B48">
            <v>46186</v>
          </cell>
          <cell r="C48" t="str">
            <v>是</v>
          </cell>
          <cell r="D48" t="str">
            <v>2026年秋冬纯棉报告号：260653303</v>
          </cell>
        </row>
        <row r="48">
          <cell r="H48" t="str">
            <v>JHG63529</v>
          </cell>
          <cell r="I48">
            <v>46186</v>
          </cell>
          <cell r="J48" t="str">
            <v>2026年秋冬A类报告号：260661531</v>
          </cell>
        </row>
        <row r="49">
          <cell r="A49" t="str">
            <v>JJB63640</v>
          </cell>
          <cell r="B49">
            <v>46186</v>
          </cell>
          <cell r="C49" t="str">
            <v>是</v>
          </cell>
          <cell r="D49" t="str">
            <v>2026年秋冬纯棉报告号：260653303</v>
          </cell>
        </row>
        <row r="49">
          <cell r="H49" t="str">
            <v>JCG63531</v>
          </cell>
          <cell r="I49">
            <v>46186</v>
          </cell>
          <cell r="J49" t="str">
            <v>2026年秋冬A类报告号：260661531</v>
          </cell>
        </row>
        <row r="50">
          <cell r="A50" t="str">
            <v>JJG63641</v>
          </cell>
          <cell r="B50">
            <v>46186</v>
          </cell>
          <cell r="C50" t="str">
            <v>是</v>
          </cell>
          <cell r="D50" t="str">
            <v>2026年秋冬纯棉报告号：260653303</v>
          </cell>
        </row>
        <row r="50">
          <cell r="H50" t="str">
            <v>JTG63532</v>
          </cell>
          <cell r="I50">
            <v>46186</v>
          </cell>
          <cell r="J50" t="str">
            <v>2026年秋冬A类报告号：260661531</v>
          </cell>
        </row>
        <row r="51">
          <cell r="A51" t="str">
            <v>JCB63644</v>
          </cell>
          <cell r="B51">
            <v>46186</v>
          </cell>
          <cell r="C51" t="str">
            <v>是</v>
          </cell>
          <cell r="D51" t="str">
            <v>2026年秋冬纯棉报告号：260653303</v>
          </cell>
        </row>
        <row r="51">
          <cell r="H51" t="str">
            <v>JMG63533</v>
          </cell>
          <cell r="I51">
            <v>46186</v>
          </cell>
          <cell r="J51" t="str">
            <v>2026年秋冬A类报告号：260661531</v>
          </cell>
        </row>
        <row r="52">
          <cell r="A52" t="str">
            <v>JKG63647</v>
          </cell>
          <cell r="B52">
            <v>46186</v>
          </cell>
          <cell r="C52" t="str">
            <v>是</v>
          </cell>
          <cell r="D52" t="str">
            <v>2026年秋冬纯棉报告号：260653303</v>
          </cell>
        </row>
        <row r="52">
          <cell r="H52" t="str">
            <v>JKG63534</v>
          </cell>
          <cell r="I52">
            <v>46186</v>
          </cell>
          <cell r="J52" t="str">
            <v>2026年秋冬A类报告号：260661531</v>
          </cell>
        </row>
        <row r="53">
          <cell r="A53" t="str">
            <v>JTG63648</v>
          </cell>
          <cell r="B53">
            <v>46186</v>
          </cell>
          <cell r="C53" t="str">
            <v>是</v>
          </cell>
          <cell r="D53" t="str">
            <v>2026年秋冬纯棉报告号：260653303</v>
          </cell>
        </row>
        <row r="53">
          <cell r="H53" t="str">
            <v>JKG63812</v>
          </cell>
          <cell r="I53">
            <v>46186</v>
          </cell>
          <cell r="J53" t="str">
            <v>2026年秋冬A类报告号：260661531</v>
          </cell>
        </row>
        <row r="54">
          <cell r="A54" t="str">
            <v>JHG63555</v>
          </cell>
          <cell r="B54">
            <v>46186</v>
          </cell>
          <cell r="C54" t="str">
            <v>是</v>
          </cell>
          <cell r="D54" t="str">
            <v>2026年秋冬纯棉报告号：260653303</v>
          </cell>
        </row>
        <row r="54">
          <cell r="H54" t="str">
            <v>JKG63813</v>
          </cell>
          <cell r="I54">
            <v>46186</v>
          </cell>
          <cell r="J54" t="str">
            <v>2026年秋冬A类报告号：260661531</v>
          </cell>
        </row>
        <row r="55">
          <cell r="A55" t="str">
            <v>JTB63560</v>
          </cell>
          <cell r="B55">
            <v>46186</v>
          </cell>
          <cell r="C55" t="str">
            <v>是</v>
          </cell>
          <cell r="D55" t="str">
            <v>2026年秋冬纯棉报告号：260653303</v>
          </cell>
        </row>
        <row r="55">
          <cell r="H55" t="str">
            <v>JTG63814</v>
          </cell>
          <cell r="I55">
            <v>46186</v>
          </cell>
          <cell r="J55" t="str">
            <v>2026年秋冬A类报告号：260661531</v>
          </cell>
        </row>
        <row r="56">
          <cell r="A56" t="str">
            <v>JXG63561</v>
          </cell>
          <cell r="B56">
            <v>46186</v>
          </cell>
          <cell r="C56" t="str">
            <v>是</v>
          </cell>
          <cell r="D56" t="str">
            <v>2026年秋冬纯棉报告号：260653303</v>
          </cell>
        </row>
        <row r="56">
          <cell r="H56" t="str">
            <v>JJB65808</v>
          </cell>
          <cell r="I56">
            <v>46186</v>
          </cell>
          <cell r="J56" t="str">
            <v>2026年秋冬A类报告号：260661531</v>
          </cell>
        </row>
        <row r="57">
          <cell r="A57" t="str">
            <v>JQG63024</v>
          </cell>
          <cell r="B57">
            <v>46186</v>
          </cell>
          <cell r="C57" t="str">
            <v>是</v>
          </cell>
          <cell r="D57" t="str">
            <v>2026年秋冬纯棉报告号：260653303</v>
          </cell>
        </row>
        <row r="57">
          <cell r="H57" t="str">
            <v>JAN64819</v>
          </cell>
          <cell r="I57">
            <v>46186</v>
          </cell>
          <cell r="J57" t="str">
            <v>2026年秋冬A类报告号：260661531</v>
          </cell>
        </row>
        <row r="58">
          <cell r="A58" t="str">
            <v>JCG63025</v>
          </cell>
          <cell r="B58">
            <v>46186</v>
          </cell>
          <cell r="C58" t="str">
            <v>是</v>
          </cell>
          <cell r="D58" t="str">
            <v>2026年秋冬纯棉报告号：260653303</v>
          </cell>
        </row>
        <row r="58">
          <cell r="H58" t="str">
            <v>JJB63538</v>
          </cell>
          <cell r="I58">
            <v>46186</v>
          </cell>
          <cell r="J58" t="str">
            <v>2026年秋冬A类报告号：260661531</v>
          </cell>
        </row>
        <row r="59">
          <cell r="A59" t="str">
            <v>JXG63567</v>
          </cell>
          <cell r="B59">
            <v>46186</v>
          </cell>
          <cell r="C59" t="str">
            <v>是</v>
          </cell>
          <cell r="D59" t="str">
            <v>2026年秋冬纯棉报告号：260653303</v>
          </cell>
        </row>
        <row r="59">
          <cell r="H59" t="str">
            <v>JTN63539</v>
          </cell>
          <cell r="I59">
            <v>46186</v>
          </cell>
          <cell r="J59" t="str">
            <v>2026年秋冬A类报告号：260661531</v>
          </cell>
        </row>
        <row r="60">
          <cell r="A60" t="str">
            <v>JRG63830</v>
          </cell>
          <cell r="B60">
            <v>46186</v>
          </cell>
          <cell r="C60" t="str">
            <v>是</v>
          </cell>
          <cell r="D60" t="str">
            <v>2026年秋冬纯棉报告号：260653303</v>
          </cell>
        </row>
        <row r="60">
          <cell r="H60" t="str">
            <v>JXB63540</v>
          </cell>
          <cell r="I60">
            <v>46186</v>
          </cell>
          <cell r="J60" t="str">
            <v>2026年秋冬A类报告号：260661531</v>
          </cell>
        </row>
        <row r="61">
          <cell r="A61" t="str">
            <v>JTG63832</v>
          </cell>
          <cell r="B61">
            <v>46186</v>
          </cell>
          <cell r="C61" t="str">
            <v>是</v>
          </cell>
          <cell r="D61" t="str">
            <v>2026年秋冬纯棉报告号：260653303</v>
          </cell>
        </row>
        <row r="61">
          <cell r="H61" t="str">
            <v>JJG63006</v>
          </cell>
          <cell r="I61">
            <v>46186</v>
          </cell>
          <cell r="J61" t="str">
            <v>2026年秋冬A类报告号：260661531</v>
          </cell>
        </row>
        <row r="62">
          <cell r="A62" t="str">
            <v>JTG63834</v>
          </cell>
          <cell r="B62">
            <v>46186</v>
          </cell>
          <cell r="C62" t="str">
            <v>是</v>
          </cell>
          <cell r="D62" t="str">
            <v>2026年秋冬纯棉报告号：260653303</v>
          </cell>
        </row>
        <row r="62">
          <cell r="H62" t="str">
            <v>JQG63007</v>
          </cell>
          <cell r="I62">
            <v>46186</v>
          </cell>
          <cell r="J62" t="str">
            <v>2026年秋冬A类报告号：260661531</v>
          </cell>
        </row>
        <row r="63">
          <cell r="A63" t="str">
            <v>JTG63835</v>
          </cell>
          <cell r="B63">
            <v>46186</v>
          </cell>
          <cell r="C63" t="str">
            <v>是</v>
          </cell>
          <cell r="D63" t="str">
            <v>2026年秋冬纯棉报告号：260653303</v>
          </cell>
        </row>
        <row r="63">
          <cell r="H63" t="str">
            <v>JXB63008</v>
          </cell>
          <cell r="I63">
            <v>46186</v>
          </cell>
          <cell r="J63" t="str">
            <v>2026年秋冬A类报告号：260661531</v>
          </cell>
        </row>
        <row r="64">
          <cell r="A64" t="str">
            <v>JTG63036</v>
          </cell>
          <cell r="B64">
            <v>46186</v>
          </cell>
          <cell r="C64" t="str">
            <v>是</v>
          </cell>
          <cell r="D64" t="str">
            <v>2026年秋冬纯棉报告号：260653303</v>
          </cell>
        </row>
        <row r="64">
          <cell r="H64" t="str">
            <v>JLB63009</v>
          </cell>
          <cell r="I64">
            <v>46186</v>
          </cell>
          <cell r="J64" t="str">
            <v>2026年秋冬A类报告号：260661531</v>
          </cell>
        </row>
        <row r="65">
          <cell r="A65" t="str">
            <v>JTG63576</v>
          </cell>
          <cell r="B65">
            <v>46186</v>
          </cell>
          <cell r="C65" t="str">
            <v>是</v>
          </cell>
          <cell r="D65" t="str">
            <v>2026年秋冬纯棉报告号：260653303</v>
          </cell>
        </row>
        <row r="65">
          <cell r="H65" t="str">
            <v>JXG63010</v>
          </cell>
          <cell r="I65">
            <v>46186</v>
          </cell>
          <cell r="J65" t="str">
            <v>2026年秋冬A类报告号：260661531</v>
          </cell>
        </row>
        <row r="66">
          <cell r="A66" t="str">
            <v>JKG63038</v>
          </cell>
          <cell r="B66">
            <v>46186</v>
          </cell>
          <cell r="C66" t="str">
            <v>是</v>
          </cell>
          <cell r="D66" t="str">
            <v>2026年秋冬纯棉报告号：260653303</v>
          </cell>
        </row>
        <row r="66">
          <cell r="H66" t="str">
            <v>JDG63011</v>
          </cell>
          <cell r="I66">
            <v>46186</v>
          </cell>
          <cell r="J66" t="str">
            <v>2026年秋冬A类报告号：260661531</v>
          </cell>
        </row>
        <row r="67">
          <cell r="A67" t="str">
            <v>JCG63836</v>
          </cell>
          <cell r="B67">
            <v>46186</v>
          </cell>
          <cell r="C67" t="str">
            <v>是</v>
          </cell>
          <cell r="D67" t="str">
            <v>2026年秋冬纯棉报告号：260653303</v>
          </cell>
        </row>
        <row r="67">
          <cell r="H67" t="str">
            <v>JQG63012</v>
          </cell>
          <cell r="I67">
            <v>46186</v>
          </cell>
          <cell r="J67" t="str">
            <v>2026年秋冬A类报告号：260661531</v>
          </cell>
        </row>
        <row r="68">
          <cell r="A68" t="str">
            <v>JQG63837</v>
          </cell>
          <cell r="B68">
            <v>46186</v>
          </cell>
          <cell r="C68" t="str">
            <v>是</v>
          </cell>
          <cell r="D68" t="str">
            <v>2026年秋冬纯棉报告号：260653303</v>
          </cell>
        </row>
        <row r="68">
          <cell r="H68" t="str">
            <v>JDG65007</v>
          </cell>
          <cell r="I68">
            <v>46186</v>
          </cell>
          <cell r="J68" t="str">
            <v>2026年秋冬A类报告号：260661531</v>
          </cell>
        </row>
        <row r="69">
          <cell r="A69" t="str">
            <v>JCG63838</v>
          </cell>
          <cell r="B69">
            <v>46186</v>
          </cell>
          <cell r="C69" t="str">
            <v>是</v>
          </cell>
          <cell r="D69" t="str">
            <v>2026年秋冬纯棉报告号：260653303</v>
          </cell>
        </row>
        <row r="69">
          <cell r="H69" t="str">
            <v>JXG63013</v>
          </cell>
          <cell r="I69">
            <v>46186</v>
          </cell>
          <cell r="J69" t="str">
            <v>2026年秋冬A类报告号：260661531</v>
          </cell>
        </row>
        <row r="70">
          <cell r="A70" t="str">
            <v>JQG63841</v>
          </cell>
          <cell r="B70">
            <v>46186</v>
          </cell>
          <cell r="C70" t="str">
            <v>是</v>
          </cell>
          <cell r="D70" t="str">
            <v>2026年秋冬纯棉报告号：260653303</v>
          </cell>
        </row>
        <row r="70">
          <cell r="H70" t="str">
            <v>JCG63015</v>
          </cell>
          <cell r="I70">
            <v>46186</v>
          </cell>
          <cell r="J70" t="str">
            <v>2026年秋冬A类报告号：260661531</v>
          </cell>
        </row>
        <row r="71">
          <cell r="A71" t="str">
            <v>JXG63842</v>
          </cell>
          <cell r="B71">
            <v>46186</v>
          </cell>
          <cell r="C71" t="str">
            <v>是</v>
          </cell>
          <cell r="D71" t="str">
            <v>2026年秋冬纯棉报告号：260653303</v>
          </cell>
        </row>
        <row r="71">
          <cell r="H71" t="str">
            <v>JTB63016</v>
          </cell>
          <cell r="I71">
            <v>46186</v>
          </cell>
          <cell r="J71" t="str">
            <v>2026年秋冬A类报告号：260661531</v>
          </cell>
        </row>
        <row r="72">
          <cell r="A72" t="str">
            <v>JXG63582</v>
          </cell>
          <cell r="B72">
            <v>46186</v>
          </cell>
          <cell r="C72" t="str">
            <v>是</v>
          </cell>
          <cell r="D72" t="str">
            <v>2026年秋冬纯棉报告号：260653303</v>
          </cell>
        </row>
        <row r="72">
          <cell r="H72" t="str">
            <v>JXB63017</v>
          </cell>
          <cell r="I72">
            <v>46186</v>
          </cell>
          <cell r="J72" t="str">
            <v>2026年秋冬A类报告号：260661531</v>
          </cell>
        </row>
        <row r="73">
          <cell r="A73" t="str">
            <v>JJG63662</v>
          </cell>
          <cell r="B73">
            <v>46186</v>
          </cell>
          <cell r="C73" t="str">
            <v>是</v>
          </cell>
          <cell r="D73" t="str">
            <v>2026年秋冬纯棉报告号：260653303</v>
          </cell>
        </row>
        <row r="73">
          <cell r="H73" t="str">
            <v>JKB63018</v>
          </cell>
          <cell r="I73">
            <v>46186</v>
          </cell>
          <cell r="J73" t="str">
            <v>2026年秋冬A类报告号：260661531</v>
          </cell>
        </row>
        <row r="74">
          <cell r="A74" t="str">
            <v>JJG63663</v>
          </cell>
          <cell r="B74">
            <v>46186</v>
          </cell>
          <cell r="C74" t="str">
            <v>是</v>
          </cell>
          <cell r="D74" t="str">
            <v>2026年秋冬纯棉报告号：260653303</v>
          </cell>
        </row>
        <row r="74">
          <cell r="H74" t="str">
            <v>JJB63019</v>
          </cell>
          <cell r="I74">
            <v>46186</v>
          </cell>
          <cell r="J74" t="str">
            <v>2026年秋冬A类报告号：260661531</v>
          </cell>
        </row>
        <row r="75">
          <cell r="A75" t="str">
            <v>JJG63664</v>
          </cell>
          <cell r="B75">
            <v>46186</v>
          </cell>
          <cell r="C75" t="str">
            <v>是</v>
          </cell>
          <cell r="D75" t="str">
            <v>2026年秋冬纯棉报告号：260653303</v>
          </cell>
        </row>
        <row r="75">
          <cell r="H75" t="str">
            <v>JQG63623</v>
          </cell>
          <cell r="I75">
            <v>46186</v>
          </cell>
          <cell r="J75" t="str">
            <v>2026年秋冬A类报告号：260661531</v>
          </cell>
        </row>
        <row r="76">
          <cell r="A76" t="str">
            <v>JJB63665</v>
          </cell>
          <cell r="B76">
            <v>46186</v>
          </cell>
          <cell r="C76" t="str">
            <v>是</v>
          </cell>
          <cell r="D76" t="str">
            <v>2026年秋冬纯棉报告号：260653303</v>
          </cell>
        </row>
        <row r="76">
          <cell r="H76" t="str">
            <v>JLG63624</v>
          </cell>
          <cell r="I76">
            <v>46186</v>
          </cell>
          <cell r="J76" t="str">
            <v>2026年秋冬A类报告号：260661531</v>
          </cell>
        </row>
        <row r="77">
          <cell r="A77" t="str">
            <v>JDG63041</v>
          </cell>
          <cell r="B77">
            <v>46186</v>
          </cell>
          <cell r="C77" t="str">
            <v>是</v>
          </cell>
          <cell r="D77" t="str">
            <v>2026年秋冬纯棉报告号：260653303</v>
          </cell>
        </row>
        <row r="77">
          <cell r="H77" t="str">
            <v>JKG63626</v>
          </cell>
          <cell r="I77">
            <v>46186</v>
          </cell>
          <cell r="J77" t="str">
            <v>2026年秋冬A类报告号：260661531</v>
          </cell>
        </row>
        <row r="78">
          <cell r="A78" t="str">
            <v>JQG63578</v>
          </cell>
          <cell r="B78">
            <v>46186</v>
          </cell>
          <cell r="C78" t="str">
            <v>是</v>
          </cell>
          <cell r="D78" t="str">
            <v>2026年秋冬纯棉报告号：260653303</v>
          </cell>
        </row>
        <row r="78">
          <cell r="H78" t="str">
            <v>JKG63627</v>
          </cell>
          <cell r="I78">
            <v>46186</v>
          </cell>
          <cell r="J78" t="str">
            <v>2026年秋冬A类报告号：260661531</v>
          </cell>
        </row>
        <row r="79">
          <cell r="A79" t="str">
            <v>JCG63579</v>
          </cell>
          <cell r="B79">
            <v>46186</v>
          </cell>
          <cell r="C79" t="str">
            <v>是</v>
          </cell>
          <cell r="D79" t="str">
            <v>2026年秋冬纯棉报告号：260653303</v>
          </cell>
        </row>
        <row r="79">
          <cell r="H79" t="str">
            <v>JTG63628</v>
          </cell>
          <cell r="I79">
            <v>46186</v>
          </cell>
          <cell r="J79" t="str">
            <v>2026年秋冬A类报告号：260661531</v>
          </cell>
        </row>
        <row r="80">
          <cell r="A80" t="str">
            <v>JQG63590</v>
          </cell>
          <cell r="B80">
            <v>46186</v>
          </cell>
          <cell r="C80" t="str">
            <v>是</v>
          </cell>
          <cell r="D80" t="str">
            <v>2026年秋冬纯棉报告号：260653303</v>
          </cell>
        </row>
        <row r="80">
          <cell r="H80" t="str">
            <v>JTG63629</v>
          </cell>
          <cell r="I80">
            <v>46186</v>
          </cell>
          <cell r="J80" t="str">
            <v>2026年秋冬A类报告号：260661531</v>
          </cell>
        </row>
        <row r="81">
          <cell r="A81" t="str">
            <v>JTB63592</v>
          </cell>
          <cell r="B81">
            <v>46186</v>
          </cell>
          <cell r="C81" t="str">
            <v>是</v>
          </cell>
          <cell r="D81" t="str">
            <v>2026年秋冬纯棉报告号：260653303</v>
          </cell>
        </row>
        <row r="81">
          <cell r="H81" t="str">
            <v>JJG63631</v>
          </cell>
          <cell r="I81">
            <v>46186</v>
          </cell>
          <cell r="J81" t="str">
            <v>2026年秋冬A类报告号：260661531</v>
          </cell>
        </row>
        <row r="82">
          <cell r="A82" t="str">
            <v>JTG63668</v>
          </cell>
          <cell r="B82">
            <v>46186</v>
          </cell>
          <cell r="C82" t="str">
            <v>是</v>
          </cell>
          <cell r="D82" t="str">
            <v>2026年秋冬纯棉报告号：260653303</v>
          </cell>
        </row>
        <row r="82">
          <cell r="H82" t="str">
            <v>JJG63632</v>
          </cell>
          <cell r="I82">
            <v>46186</v>
          </cell>
          <cell r="J82" t="str">
            <v>2026年秋冬A类报告号：260661531</v>
          </cell>
        </row>
        <row r="83">
          <cell r="A83" t="str">
            <v>JTG63669</v>
          </cell>
          <cell r="B83">
            <v>46186</v>
          </cell>
          <cell r="C83" t="str">
            <v>是</v>
          </cell>
          <cell r="D83" t="str">
            <v>2026年秋冬纯棉报告号：260653303</v>
          </cell>
        </row>
        <row r="83">
          <cell r="H83" t="str">
            <v>JCG63633</v>
          </cell>
          <cell r="I83">
            <v>46186</v>
          </cell>
          <cell r="J83" t="str">
            <v>2026年秋冬A类报告号：260661531</v>
          </cell>
        </row>
        <row r="84">
          <cell r="A84" t="str">
            <v>JJG63670</v>
          </cell>
          <cell r="B84">
            <v>46186</v>
          </cell>
          <cell r="C84" t="str">
            <v>是</v>
          </cell>
          <cell r="D84" t="str">
            <v>2026年秋冬纯棉报告号：260653303</v>
          </cell>
        </row>
        <row r="84">
          <cell r="H84" t="str">
            <v>JXG63634</v>
          </cell>
          <cell r="I84">
            <v>46186</v>
          </cell>
          <cell r="J84" t="str">
            <v>2026年秋冬A类报告号：260661531</v>
          </cell>
        </row>
        <row r="85">
          <cell r="A85" t="str">
            <v>JZG63850</v>
          </cell>
          <cell r="B85">
            <v>46186</v>
          </cell>
          <cell r="C85" t="str">
            <v>是</v>
          </cell>
          <cell r="D85" t="str">
            <v>2026年秋冬纯棉报告号：260653303</v>
          </cell>
        </row>
        <row r="85">
          <cell r="H85" t="str">
            <v>JGB63635</v>
          </cell>
          <cell r="I85">
            <v>46186</v>
          </cell>
          <cell r="J85" t="str">
            <v>2026年秋冬A类报告号：260661531</v>
          </cell>
        </row>
        <row r="86">
          <cell r="A86" t="str">
            <v>JHG63851</v>
          </cell>
          <cell r="B86">
            <v>46186</v>
          </cell>
          <cell r="C86" t="str">
            <v>是</v>
          </cell>
          <cell r="D86" t="str">
            <v>2026年秋冬纯棉报告号：260653303</v>
          </cell>
        </row>
        <row r="86">
          <cell r="H86" t="str">
            <v>JHG63542</v>
          </cell>
          <cell r="I86">
            <v>46186</v>
          </cell>
          <cell r="J86" t="str">
            <v>2026年秋冬A类报告号：260661531</v>
          </cell>
        </row>
        <row r="87">
          <cell r="A87" t="str">
            <v>JXG63453</v>
          </cell>
          <cell r="B87">
            <v>46186</v>
          </cell>
          <cell r="C87" t="str">
            <v>是</v>
          </cell>
          <cell r="D87" t="str">
            <v>2026年秋冬纯棉报告号：260653303</v>
          </cell>
        </row>
        <row r="87">
          <cell r="H87" t="str">
            <v>JRG63543</v>
          </cell>
          <cell r="I87">
            <v>46186</v>
          </cell>
          <cell r="J87" t="str">
            <v>2026年秋冬A类报告号：260661531</v>
          </cell>
        </row>
        <row r="88">
          <cell r="A88" t="str">
            <v>JKG63458</v>
          </cell>
          <cell r="B88">
            <v>46186</v>
          </cell>
          <cell r="C88" t="str">
            <v>是</v>
          </cell>
          <cell r="D88" t="str">
            <v>2026年秋冬纯棉报告号：260653303</v>
          </cell>
        </row>
        <row r="88">
          <cell r="H88" t="str">
            <v>JRG63544</v>
          </cell>
          <cell r="I88">
            <v>46186</v>
          </cell>
          <cell r="J88" t="str">
            <v>2026年秋冬A类报告号：260661531</v>
          </cell>
        </row>
        <row r="89">
          <cell r="A89" t="str">
            <v>JTG63459</v>
          </cell>
          <cell r="B89">
            <v>46186</v>
          </cell>
          <cell r="C89" t="str">
            <v>是</v>
          </cell>
          <cell r="D89" t="str">
            <v>2026年秋冬纯棉报告号：260653303</v>
          </cell>
        </row>
        <row r="89">
          <cell r="H89" t="str">
            <v>JKN63546</v>
          </cell>
          <cell r="I89">
            <v>46186</v>
          </cell>
          <cell r="J89" t="str">
            <v>2026年秋冬A类报告号：260661531</v>
          </cell>
        </row>
        <row r="90">
          <cell r="A90" t="str">
            <v>JTG63460</v>
          </cell>
          <cell r="B90">
            <v>46186</v>
          </cell>
          <cell r="C90" t="str">
            <v>是</v>
          </cell>
          <cell r="D90" t="str">
            <v>2026年秋冬纯棉报告号：260653303</v>
          </cell>
        </row>
        <row r="90">
          <cell r="H90" t="str">
            <v>JKG63547</v>
          </cell>
          <cell r="I90">
            <v>46186</v>
          </cell>
          <cell r="J90" t="str">
            <v>2026年秋冬A类报告号：260661531</v>
          </cell>
        </row>
        <row r="91">
          <cell r="A91" t="str">
            <v>JXG63050</v>
          </cell>
          <cell r="B91">
            <v>46186</v>
          </cell>
          <cell r="C91" t="str">
            <v>是</v>
          </cell>
          <cell r="D91" t="str">
            <v>2026年秋冬纯棉报告号：260653303</v>
          </cell>
        </row>
        <row r="91">
          <cell r="H91" t="str">
            <v>JXG63548</v>
          </cell>
          <cell r="I91">
            <v>46186</v>
          </cell>
          <cell r="J91" t="str">
            <v>2026年秋冬A类报告号：260661531</v>
          </cell>
        </row>
        <row r="92">
          <cell r="A92" t="str">
            <v>JJG63054</v>
          </cell>
          <cell r="B92">
            <v>46186</v>
          </cell>
          <cell r="C92" t="str">
            <v>是</v>
          </cell>
          <cell r="D92" t="str">
            <v>2026年秋冬纯棉报告号：260653303</v>
          </cell>
        </row>
        <row r="92">
          <cell r="H92" t="str">
            <v>JXG63549</v>
          </cell>
          <cell r="I92">
            <v>46186</v>
          </cell>
          <cell r="J92" t="str">
            <v>2026年秋冬A类报告号：260661531</v>
          </cell>
        </row>
        <row r="93">
          <cell r="A93" t="str">
            <v>JJG63055</v>
          </cell>
          <cell r="B93">
            <v>46186</v>
          </cell>
          <cell r="C93" t="str">
            <v>是</v>
          </cell>
          <cell r="D93" t="str">
            <v>2026年秋冬纯棉报告号：260653303</v>
          </cell>
        </row>
        <row r="93">
          <cell r="H93" t="str">
            <v>JXG63550</v>
          </cell>
          <cell r="I93">
            <v>46186</v>
          </cell>
          <cell r="J93" t="str">
            <v>2026年秋冬A类报告号：260661531</v>
          </cell>
        </row>
        <row r="94">
          <cell r="A94" t="str">
            <v>JTG63678</v>
          </cell>
          <cell r="B94">
            <v>46186</v>
          </cell>
          <cell r="C94" t="str">
            <v>是</v>
          </cell>
          <cell r="D94" t="str">
            <v>2026年秋冬纯棉报告号：260653303</v>
          </cell>
        </row>
        <row r="94">
          <cell r="H94" t="str">
            <v>JXG63551</v>
          </cell>
          <cell r="I94">
            <v>46186</v>
          </cell>
          <cell r="J94" t="str">
            <v>2026年秋冬A类报告号：260661531</v>
          </cell>
        </row>
        <row r="95">
          <cell r="A95" t="str">
            <v>JJG63686</v>
          </cell>
          <cell r="B95">
            <v>46186</v>
          </cell>
          <cell r="C95" t="str">
            <v>是</v>
          </cell>
          <cell r="D95" t="str">
            <v>2026年秋冬纯棉报告号：260653303</v>
          </cell>
        </row>
        <row r="95">
          <cell r="H95" t="str">
            <v>JXG63552</v>
          </cell>
          <cell r="I95">
            <v>46186</v>
          </cell>
          <cell r="J95" t="str">
            <v>2026年秋冬A类报告号：260661531</v>
          </cell>
        </row>
        <row r="96">
          <cell r="A96" t="str">
            <v>JGG63687</v>
          </cell>
          <cell r="B96">
            <v>46186</v>
          </cell>
          <cell r="C96" t="str">
            <v>是</v>
          </cell>
          <cell r="D96" t="str">
            <v>2026年秋冬纯棉报告号：260653303</v>
          </cell>
        </row>
        <row r="96">
          <cell r="H96" t="str">
            <v>JJG63817</v>
          </cell>
          <cell r="I96">
            <v>46186</v>
          </cell>
          <cell r="J96" t="str">
            <v>2026年秋冬A类报告号：260661531</v>
          </cell>
        </row>
        <row r="97">
          <cell r="A97" t="str">
            <v>JTG63860</v>
          </cell>
          <cell r="B97">
            <v>46186</v>
          </cell>
          <cell r="C97" t="str">
            <v>是</v>
          </cell>
          <cell r="D97" t="str">
            <v>2026年秋冬纯棉报告号：260653303</v>
          </cell>
        </row>
        <row r="97">
          <cell r="H97" t="str">
            <v>JJN63818</v>
          </cell>
          <cell r="I97">
            <v>46186</v>
          </cell>
          <cell r="J97" t="str">
            <v>2026年秋冬A类报告号：260661531</v>
          </cell>
        </row>
        <row r="98">
          <cell r="A98" t="str">
            <v>JTB63867</v>
          </cell>
          <cell r="B98">
            <v>46186</v>
          </cell>
          <cell r="C98" t="str">
            <v>是</v>
          </cell>
          <cell r="D98" t="str">
            <v>2026年秋冬纯棉报告号：260653303</v>
          </cell>
        </row>
        <row r="98">
          <cell r="H98" t="str">
            <v>JJG63819</v>
          </cell>
          <cell r="I98">
            <v>46186</v>
          </cell>
          <cell r="J98" t="str">
            <v>2026年秋冬A类报告号：260661531</v>
          </cell>
        </row>
        <row r="99">
          <cell r="A99" t="str">
            <v>JTB63869</v>
          </cell>
          <cell r="B99">
            <v>46186</v>
          </cell>
          <cell r="C99" t="str">
            <v>是</v>
          </cell>
          <cell r="D99" t="str">
            <v>2026年秋冬纯棉报告号：260653303</v>
          </cell>
        </row>
        <row r="99">
          <cell r="H99" t="str">
            <v>JXG63821</v>
          </cell>
          <cell r="I99">
            <v>46186</v>
          </cell>
          <cell r="J99" t="str">
            <v>2026年秋冬A类报告号：260661531</v>
          </cell>
        </row>
        <row r="100">
          <cell r="A100" t="str">
            <v>JKG63466</v>
          </cell>
          <cell r="B100">
            <v>46186</v>
          </cell>
          <cell r="C100" t="str">
            <v>是</v>
          </cell>
          <cell r="D100" t="str">
            <v>2026年秋冬纯棉报告号：260653303</v>
          </cell>
        </row>
        <row r="100">
          <cell r="H100" t="str">
            <v>JQG63823</v>
          </cell>
          <cell r="I100">
            <v>46186</v>
          </cell>
          <cell r="J100" t="str">
            <v>2026年秋冬A类报告号：260661531</v>
          </cell>
        </row>
        <row r="101">
          <cell r="A101" t="str">
            <v>JTG63061</v>
          </cell>
          <cell r="B101">
            <v>46186</v>
          </cell>
          <cell r="C101" t="str">
            <v>是</v>
          </cell>
          <cell r="D101" t="str">
            <v>2026年秋冬纯棉报告号：260653303</v>
          </cell>
        </row>
        <row r="101">
          <cell r="H101" t="str">
            <v>JAG64820</v>
          </cell>
          <cell r="I101">
            <v>46186</v>
          </cell>
          <cell r="J101" t="str">
            <v>2026年秋冬A类报告号：260661531</v>
          </cell>
        </row>
        <row r="102">
          <cell r="A102" t="str">
            <v>JJB63064</v>
          </cell>
          <cell r="B102">
            <v>46186</v>
          </cell>
          <cell r="C102" t="str">
            <v>是</v>
          </cell>
          <cell r="D102" t="str">
            <v>2026年秋冬纯棉报告号：260653303</v>
          </cell>
        </row>
        <row r="102">
          <cell r="H102" t="str">
            <v>JXB63553</v>
          </cell>
          <cell r="I102">
            <v>46186</v>
          </cell>
          <cell r="J102" t="str">
            <v>2026年秋冬A类报告号：260661531</v>
          </cell>
        </row>
        <row r="103">
          <cell r="A103" t="str">
            <v>JKG63065</v>
          </cell>
          <cell r="B103">
            <v>46186</v>
          </cell>
          <cell r="C103" t="str">
            <v>是</v>
          </cell>
          <cell r="D103" t="str">
            <v>2026年秋冬纯棉报告号：260653303</v>
          </cell>
        </row>
        <row r="103">
          <cell r="H103" t="str">
            <v>JRB63554</v>
          </cell>
          <cell r="I103">
            <v>46186</v>
          </cell>
          <cell r="J103" t="str">
            <v>2026年秋冬A类报告号：260661531</v>
          </cell>
        </row>
        <row r="104">
          <cell r="A104" t="str">
            <v>JJG63874</v>
          </cell>
          <cell r="B104">
            <v>46186</v>
          </cell>
          <cell r="C104" t="str">
            <v>是</v>
          </cell>
          <cell r="D104" t="str">
            <v>2026年秋冬纯棉报告号：260653303</v>
          </cell>
        </row>
        <row r="104">
          <cell r="H104" t="str">
            <v>JTB63021</v>
          </cell>
          <cell r="I104">
            <v>46186</v>
          </cell>
          <cell r="J104" t="str">
            <v>2026年秋冬A类报告号：260661531</v>
          </cell>
        </row>
        <row r="105">
          <cell r="A105" t="str">
            <v>JJG63876</v>
          </cell>
          <cell r="B105">
            <v>46186</v>
          </cell>
          <cell r="C105" t="str">
            <v>是</v>
          </cell>
          <cell r="D105" t="str">
            <v>2026年秋冬纯棉报告号：260653303</v>
          </cell>
        </row>
        <row r="105">
          <cell r="H105" t="str">
            <v>JMG63022</v>
          </cell>
          <cell r="I105">
            <v>46186</v>
          </cell>
          <cell r="J105" t="str">
            <v>2026年秋冬A类报告号：260661531</v>
          </cell>
        </row>
        <row r="106">
          <cell r="A106" t="str">
            <v>JTG63597</v>
          </cell>
          <cell r="B106">
            <v>46186</v>
          </cell>
          <cell r="C106" t="str">
            <v>是</v>
          </cell>
          <cell r="D106" t="str">
            <v>2026年秋冬纯棉报告号：260653303</v>
          </cell>
        </row>
        <row r="106">
          <cell r="H106" t="str">
            <v>JKG65008</v>
          </cell>
          <cell r="I106">
            <v>46186</v>
          </cell>
          <cell r="J106" t="str">
            <v>2026年秋冬A类报告号：260661531</v>
          </cell>
        </row>
        <row r="107">
          <cell r="A107" t="str">
            <v>JXG63470</v>
          </cell>
          <cell r="B107">
            <v>46186</v>
          </cell>
          <cell r="C107" t="str">
            <v>是</v>
          </cell>
          <cell r="D107" t="str">
            <v>2026年秋冬纯棉报告号：260653303</v>
          </cell>
        </row>
        <row r="107">
          <cell r="H107" t="str">
            <v>JTG63826</v>
          </cell>
          <cell r="I107">
            <v>46186</v>
          </cell>
          <cell r="J107" t="str">
            <v>2026年秋冬A类报告号：260661531</v>
          </cell>
        </row>
        <row r="108">
          <cell r="A108" t="str">
            <v>JTG63883</v>
          </cell>
          <cell r="B108">
            <v>46186</v>
          </cell>
          <cell r="C108" t="str">
            <v>是</v>
          </cell>
          <cell r="D108" t="str">
            <v>2026年秋冬纯棉报告号：260653303</v>
          </cell>
        </row>
        <row r="108">
          <cell r="H108" t="str">
            <v>JRB63636</v>
          </cell>
          <cell r="I108">
            <v>46186</v>
          </cell>
          <cell r="J108" t="str">
            <v>2026年秋冬A类报告号：260661531</v>
          </cell>
        </row>
        <row r="109">
          <cell r="A109" t="str">
            <v>JTG63884</v>
          </cell>
          <cell r="B109">
            <v>46186</v>
          </cell>
          <cell r="C109" t="str">
            <v>是</v>
          </cell>
          <cell r="D109" t="str">
            <v>2026年秋冬纯棉报告号：260653303</v>
          </cell>
        </row>
        <row r="109">
          <cell r="H109" t="str">
            <v>JJB63637</v>
          </cell>
          <cell r="I109">
            <v>46186</v>
          </cell>
          <cell r="J109" t="str">
            <v>2026年秋冬A类报告号：260661531</v>
          </cell>
        </row>
        <row r="110">
          <cell r="A110" t="str">
            <v>JHG63888</v>
          </cell>
          <cell r="B110">
            <v>46186</v>
          </cell>
          <cell r="C110" t="str">
            <v>是</v>
          </cell>
          <cell r="D110" t="str">
            <v>2026年秋冬纯棉报告号：260653303</v>
          </cell>
        </row>
        <row r="110">
          <cell r="H110" t="str">
            <v>JJB63638</v>
          </cell>
          <cell r="I110">
            <v>46186</v>
          </cell>
          <cell r="J110" t="str">
            <v>2026年秋冬A类报告号：260661531</v>
          </cell>
        </row>
        <row r="111">
          <cell r="A111" t="str">
            <v>JTG63891</v>
          </cell>
          <cell r="B111">
            <v>46186</v>
          </cell>
          <cell r="C111" t="str">
            <v>是</v>
          </cell>
          <cell r="D111" t="str">
            <v>2026年秋冬纯棉报告号：260653303</v>
          </cell>
        </row>
        <row r="111">
          <cell r="H111" t="str">
            <v>JJB63639</v>
          </cell>
          <cell r="I111">
            <v>46186</v>
          </cell>
          <cell r="J111" t="str">
            <v>2026年秋冬A类报告号：260661531</v>
          </cell>
        </row>
        <row r="112">
          <cell r="A112" t="str">
            <v>JQG63073</v>
          </cell>
          <cell r="B112">
            <v>46186</v>
          </cell>
          <cell r="C112" t="str">
            <v>是</v>
          </cell>
          <cell r="D112" t="str">
            <v>2026年秋冬纯棉报告号：260653303</v>
          </cell>
        </row>
        <row r="112">
          <cell r="H112" t="str">
            <v>JJB63640</v>
          </cell>
          <cell r="I112">
            <v>46186</v>
          </cell>
          <cell r="J112" t="str">
            <v>2026年秋冬A类报告号：260661531</v>
          </cell>
        </row>
        <row r="113">
          <cell r="A113" t="str">
            <v>JXG63079</v>
          </cell>
          <cell r="B113">
            <v>46186</v>
          </cell>
          <cell r="C113" t="str">
            <v>是</v>
          </cell>
          <cell r="D113" t="str">
            <v>2026年秋冬纯棉报告号：260653303</v>
          </cell>
        </row>
        <row r="113">
          <cell r="H113" t="str">
            <v>JJG63641</v>
          </cell>
          <cell r="I113">
            <v>46186</v>
          </cell>
          <cell r="J113" t="str">
            <v>2026年秋冬A类报告号：260661531</v>
          </cell>
        </row>
        <row r="114">
          <cell r="A114" t="str">
            <v>JRG63476</v>
          </cell>
          <cell r="B114">
            <v>46186</v>
          </cell>
          <cell r="C114" t="str">
            <v>是</v>
          </cell>
          <cell r="D114" t="str">
            <v>2026年秋冬纯棉报告号：260653303</v>
          </cell>
        </row>
        <row r="114">
          <cell r="H114" t="str">
            <v>JXB63642</v>
          </cell>
          <cell r="I114">
            <v>46186</v>
          </cell>
          <cell r="J114" t="str">
            <v>2026年秋冬A类报告号：260661531</v>
          </cell>
        </row>
        <row r="115">
          <cell r="A115" t="str">
            <v>JTG63483</v>
          </cell>
          <cell r="B115">
            <v>46186</v>
          </cell>
          <cell r="C115" t="str">
            <v>是</v>
          </cell>
          <cell r="D115" t="str">
            <v>2026年秋冬纯棉报告号：260653303</v>
          </cell>
        </row>
        <row r="115">
          <cell r="H115" t="str">
            <v>JXB63643</v>
          </cell>
          <cell r="I115">
            <v>46186</v>
          </cell>
          <cell r="J115" t="str">
            <v>2026年秋冬A类报告号：260661531</v>
          </cell>
        </row>
        <row r="116">
          <cell r="A116" t="str">
            <v>JKN63484</v>
          </cell>
          <cell r="B116">
            <v>46186</v>
          </cell>
          <cell r="C116" t="str">
            <v>是</v>
          </cell>
          <cell r="D116" t="str">
            <v>2026年秋冬纯棉报告号：260653303</v>
          </cell>
        </row>
        <row r="116">
          <cell r="H116" t="str">
            <v>JCB63644</v>
          </cell>
          <cell r="I116">
            <v>46186</v>
          </cell>
          <cell r="J116" t="str">
            <v>2026年秋冬A类报告号：260661531</v>
          </cell>
        </row>
        <row r="117">
          <cell r="A117" t="str">
            <v>JRG63497</v>
          </cell>
          <cell r="B117">
            <v>46186</v>
          </cell>
          <cell r="C117" t="str">
            <v>是</v>
          </cell>
          <cell r="D117" t="str">
            <v>2026年秋冬纯棉报告号：260653303</v>
          </cell>
        </row>
        <row r="117">
          <cell r="H117" t="str">
            <v>JLB63645</v>
          </cell>
          <cell r="I117">
            <v>46186</v>
          </cell>
          <cell r="J117" t="str">
            <v>2026年秋冬A类报告号：260661531</v>
          </cell>
        </row>
        <row r="118">
          <cell r="A118" t="str">
            <v>JTG63404</v>
          </cell>
          <cell r="B118">
            <v>46186</v>
          </cell>
          <cell r="C118" t="str">
            <v>是</v>
          </cell>
          <cell r="D118" t="str">
            <v>2026年秋冬纯棉报告号：260653303</v>
          </cell>
        </row>
        <row r="118">
          <cell r="H118" t="str">
            <v>JKG63647</v>
          </cell>
          <cell r="I118">
            <v>46186</v>
          </cell>
          <cell r="J118" t="str">
            <v>2026年秋冬A类报告号：260661531</v>
          </cell>
        </row>
        <row r="119">
          <cell r="A119" t="str">
            <v>JJG63362</v>
          </cell>
          <cell r="B119">
            <v>46186</v>
          </cell>
          <cell r="C119" t="str">
            <v>是</v>
          </cell>
          <cell r="D119" t="str">
            <v>2026年秋冬纯棉报告号：260653303</v>
          </cell>
        </row>
        <row r="119">
          <cell r="H119" t="str">
            <v>JHG63555</v>
          </cell>
          <cell r="I119">
            <v>46186</v>
          </cell>
          <cell r="J119" t="str">
            <v>2026年秋冬A类报告号：260661531</v>
          </cell>
        </row>
        <row r="120">
          <cell r="A120" t="str">
            <v>JQG63365</v>
          </cell>
          <cell r="B120">
            <v>46186</v>
          </cell>
          <cell r="C120" t="str">
            <v>是</v>
          </cell>
          <cell r="D120" t="str">
            <v>2026年秋冬纯棉报告号：260653303</v>
          </cell>
        </row>
        <row r="120">
          <cell r="H120" t="str">
            <v>JNG63556</v>
          </cell>
          <cell r="I120">
            <v>46186</v>
          </cell>
          <cell r="J120" t="str">
            <v>2026年秋冬A类报告号：260661531</v>
          </cell>
        </row>
        <row r="121">
          <cell r="A121" t="str">
            <v>JQG63366</v>
          </cell>
          <cell r="B121">
            <v>46186</v>
          </cell>
          <cell r="C121" t="str">
            <v>是</v>
          </cell>
          <cell r="D121" t="str">
            <v>2026年秋冬纯棉报告号：260653303</v>
          </cell>
        </row>
        <row r="121">
          <cell r="H121" t="str">
            <v>JNG63557</v>
          </cell>
          <cell r="I121">
            <v>46186</v>
          </cell>
          <cell r="J121" t="str">
            <v>2026年秋冬A类报告号：260661531</v>
          </cell>
        </row>
        <row r="122">
          <cell r="A122" t="str">
            <v>JHG63082</v>
          </cell>
          <cell r="B122">
            <v>46186</v>
          </cell>
          <cell r="C122" t="str">
            <v>是</v>
          </cell>
          <cell r="D122" t="str">
            <v>2026年秋冬纯棉报告号：260653303</v>
          </cell>
        </row>
        <row r="122">
          <cell r="H122" t="str">
            <v>JJN63559</v>
          </cell>
          <cell r="I122">
            <v>46186</v>
          </cell>
          <cell r="J122" t="str">
            <v>2026年秋冬A类报告号：260661531</v>
          </cell>
        </row>
        <row r="123">
          <cell r="A123" t="str">
            <v>JKG63083</v>
          </cell>
          <cell r="B123">
            <v>46186</v>
          </cell>
          <cell r="C123" t="str">
            <v>是</v>
          </cell>
          <cell r="D123" t="str">
            <v>2026年秋冬纯棉报告号：260653303</v>
          </cell>
        </row>
        <row r="123">
          <cell r="H123" t="str">
            <v>JTB63560</v>
          </cell>
          <cell r="I123">
            <v>46186</v>
          </cell>
          <cell r="J123" t="str">
            <v>2026年秋冬A类报告号：260661531</v>
          </cell>
        </row>
        <row r="124">
          <cell r="A124" t="str">
            <v>JQG63085</v>
          </cell>
          <cell r="B124">
            <v>46186</v>
          </cell>
          <cell r="C124" t="str">
            <v>是</v>
          </cell>
          <cell r="D124" t="str">
            <v>2026年秋冬纯棉报告号：260653303</v>
          </cell>
        </row>
        <row r="124">
          <cell r="H124" t="str">
            <v>JXG63561</v>
          </cell>
          <cell r="I124">
            <v>46186</v>
          </cell>
          <cell r="J124" t="str">
            <v>2026年秋冬A类报告号：260661531</v>
          </cell>
        </row>
        <row r="125">
          <cell r="A125" t="str">
            <v>JCG63378</v>
          </cell>
          <cell r="B125">
            <v>46186</v>
          </cell>
          <cell r="C125" t="str">
            <v>是</v>
          </cell>
          <cell r="D125" t="str">
            <v>2026年秋冬纯棉报告号：260653303</v>
          </cell>
        </row>
        <row r="125">
          <cell r="H125" t="str">
            <v>JXB63562</v>
          </cell>
          <cell r="I125">
            <v>46186</v>
          </cell>
          <cell r="J125" t="str">
            <v>2026年秋冬A类报告号：260661531</v>
          </cell>
        </row>
        <row r="126">
          <cell r="A126" t="str">
            <v>JQG63406</v>
          </cell>
          <cell r="B126">
            <v>46186</v>
          </cell>
          <cell r="C126" t="str">
            <v>是</v>
          </cell>
          <cell r="D126" t="str">
            <v>2026年秋冬纯棉报告号：260653303</v>
          </cell>
        </row>
        <row r="126">
          <cell r="H126" t="str">
            <v>JXB63563</v>
          </cell>
          <cell r="I126">
            <v>46186</v>
          </cell>
          <cell r="J126" t="str">
            <v>2026年秋冬A类报告号：260661531</v>
          </cell>
        </row>
        <row r="127">
          <cell r="A127" t="str">
            <v>JHB63407</v>
          </cell>
          <cell r="B127">
            <v>46186</v>
          </cell>
          <cell r="C127" t="str">
            <v>是</v>
          </cell>
          <cell r="D127" t="str">
            <v>2026年秋冬纯棉报告号：260653303</v>
          </cell>
        </row>
        <row r="127">
          <cell r="H127" t="str">
            <v>JXB63564</v>
          </cell>
          <cell r="I127">
            <v>46186</v>
          </cell>
          <cell r="J127" t="str">
            <v>2026年秋冬A类报告号：260661531</v>
          </cell>
        </row>
        <row r="128">
          <cell r="A128" t="str">
            <v>JRG63110</v>
          </cell>
          <cell r="B128">
            <v>46186</v>
          </cell>
          <cell r="C128" t="str">
            <v>是</v>
          </cell>
          <cell r="D128" t="str">
            <v>2026年秋冬纯棉报告号：260653303</v>
          </cell>
        </row>
        <row r="128">
          <cell r="H128" t="str">
            <v>JKB63566</v>
          </cell>
          <cell r="I128">
            <v>46186</v>
          </cell>
          <cell r="J128" t="str">
            <v>2026年秋冬A类报告号：260661531</v>
          </cell>
        </row>
        <row r="129">
          <cell r="A129" t="str">
            <v>JTG63911</v>
          </cell>
          <cell r="B129">
            <v>46186</v>
          </cell>
          <cell r="C129" t="str">
            <v>是</v>
          </cell>
          <cell r="D129" t="str">
            <v>2026年秋冬纯棉报告号：260653303</v>
          </cell>
        </row>
        <row r="129">
          <cell r="H129" t="str">
            <v>JMG63023</v>
          </cell>
          <cell r="I129">
            <v>46186</v>
          </cell>
          <cell r="J129" t="str">
            <v>2026年秋冬A类报告号：260661531</v>
          </cell>
        </row>
        <row r="130">
          <cell r="A130" t="str">
            <v>JQG63673</v>
          </cell>
          <cell r="B130">
            <v>46186</v>
          </cell>
          <cell r="C130" t="str">
            <v>是</v>
          </cell>
          <cell r="D130" t="str">
            <v>2026年秋冬纯棉报告号：260653303</v>
          </cell>
        </row>
        <row r="130">
          <cell r="H130" t="str">
            <v>JQG63024</v>
          </cell>
          <cell r="I130">
            <v>46186</v>
          </cell>
          <cell r="J130" t="str">
            <v>2026年秋冬A类报告号：260661531</v>
          </cell>
        </row>
        <row r="131">
          <cell r="A131" t="str">
            <v>JTG63118</v>
          </cell>
          <cell r="B131">
            <v>46186</v>
          </cell>
          <cell r="C131" t="str">
            <v>是</v>
          </cell>
          <cell r="D131" t="str">
            <v>2026年秋冬纯棉报告号：260653303</v>
          </cell>
        </row>
        <row r="131">
          <cell r="H131" t="str">
            <v>JCG63025</v>
          </cell>
          <cell r="I131">
            <v>46186</v>
          </cell>
          <cell r="J131" t="str">
            <v>2026年秋冬A类报告号：260661531</v>
          </cell>
        </row>
        <row r="132">
          <cell r="A132" t="str">
            <v>JRG63120</v>
          </cell>
          <cell r="B132">
            <v>46186</v>
          </cell>
          <cell r="C132" t="str">
            <v>是</v>
          </cell>
          <cell r="D132" t="str">
            <v>2026年秋冬纯棉报告号：260653303</v>
          </cell>
        </row>
        <row r="132">
          <cell r="H132" t="str">
            <v>JKG63026</v>
          </cell>
          <cell r="I132">
            <v>46186</v>
          </cell>
          <cell r="J132" t="str">
            <v>2026年秋冬A类报告号：260661531</v>
          </cell>
        </row>
        <row r="133">
          <cell r="A133" t="str">
            <v>JTG63917</v>
          </cell>
          <cell r="B133">
            <v>46186</v>
          </cell>
          <cell r="C133" t="str">
            <v>是</v>
          </cell>
          <cell r="D133" t="str">
            <v>2026年秋冬纯棉报告号：260653303</v>
          </cell>
        </row>
        <row r="133">
          <cell r="H133" t="str">
            <v>JGG63027</v>
          </cell>
          <cell r="I133">
            <v>46186</v>
          </cell>
          <cell r="J133" t="str">
            <v>2026年秋冬A类报告号：260661531</v>
          </cell>
        </row>
        <row r="134">
          <cell r="A134" t="str">
            <v>JGG63349</v>
          </cell>
          <cell r="B134">
            <v>46186</v>
          </cell>
          <cell r="C134" t="str">
            <v>是</v>
          </cell>
          <cell r="D134" t="str">
            <v>2026年秋冬纯棉报告号：260653303</v>
          </cell>
        </row>
        <row r="134">
          <cell r="H134" t="str">
            <v>JJG63028</v>
          </cell>
          <cell r="I134">
            <v>46186</v>
          </cell>
          <cell r="J134" t="str">
            <v>2026年秋冬A类报告号：260661531</v>
          </cell>
        </row>
        <row r="135">
          <cell r="A135" t="str">
            <v>JRN63425</v>
          </cell>
          <cell r="B135">
            <v>46186</v>
          </cell>
          <cell r="C135" t="str">
            <v>是</v>
          </cell>
          <cell r="D135" t="str">
            <v>2026年秋冬纯棉报告号：260653303</v>
          </cell>
        </row>
        <row r="135">
          <cell r="H135" t="str">
            <v>JXB63029</v>
          </cell>
          <cell r="I135">
            <v>46186</v>
          </cell>
          <cell r="J135" t="str">
            <v>2026年秋冬A类报告号：260661531</v>
          </cell>
        </row>
        <row r="136">
          <cell r="A136" t="str">
            <v>JJG63337</v>
          </cell>
          <cell r="B136">
            <v>46186</v>
          </cell>
          <cell r="C136" t="str">
            <v>是</v>
          </cell>
          <cell r="D136" t="str">
            <v>2026年秋冬纯棉报告号：260653303</v>
          </cell>
        </row>
        <row r="136">
          <cell r="H136" t="str">
            <v>JXB63030</v>
          </cell>
          <cell r="I136">
            <v>46186</v>
          </cell>
          <cell r="J136" t="str">
            <v>2026年秋冬A类报告号：260661531</v>
          </cell>
        </row>
        <row r="137">
          <cell r="A137" t="str">
            <v>JKN63339</v>
          </cell>
          <cell r="B137">
            <v>46186</v>
          </cell>
          <cell r="C137" t="str">
            <v>是</v>
          </cell>
          <cell r="D137" t="str">
            <v>2026年秋冬纯棉报告号：260653303</v>
          </cell>
        </row>
        <row r="137">
          <cell r="H137" t="str">
            <v>JRB63031</v>
          </cell>
          <cell r="I137">
            <v>46186</v>
          </cell>
          <cell r="J137" t="str">
            <v>2026年秋冬A类报告号：260661531</v>
          </cell>
        </row>
        <row r="138">
          <cell r="A138" t="str">
            <v>JEG63098</v>
          </cell>
          <cell r="B138">
            <v>46199</v>
          </cell>
          <cell r="C138" t="str">
            <v>是</v>
          </cell>
          <cell r="D138" t="str">
            <v>26秋冬纯棉报告260653303-1</v>
          </cell>
        </row>
        <row r="138">
          <cell r="H138" t="str">
            <v>JRB63032</v>
          </cell>
          <cell r="I138">
            <v>46186</v>
          </cell>
          <cell r="J138" t="str">
            <v>2026年秋冬A类报告号：260661531</v>
          </cell>
        </row>
        <row r="139">
          <cell r="A139" t="str">
            <v>JQG63899</v>
          </cell>
          <cell r="B139">
            <v>46199</v>
          </cell>
          <cell r="C139" t="str">
            <v>是</v>
          </cell>
          <cell r="D139" t="str">
            <v>26秋冬纯棉报告260653303-1</v>
          </cell>
        </row>
        <row r="139">
          <cell r="H139" t="str">
            <v>JJB63649</v>
          </cell>
          <cell r="I139">
            <v>46186</v>
          </cell>
          <cell r="J139" t="str">
            <v>2026年秋冬A类报告号：260661531</v>
          </cell>
        </row>
        <row r="140">
          <cell r="A140" t="str">
            <v>JQG63900</v>
          </cell>
          <cell r="B140">
            <v>46199</v>
          </cell>
          <cell r="C140" t="str">
            <v>是</v>
          </cell>
          <cell r="D140" t="str">
            <v>26秋冬纯棉报告260653303-1</v>
          </cell>
        </row>
        <row r="140">
          <cell r="H140" t="str">
            <v>JJB63650</v>
          </cell>
          <cell r="I140">
            <v>46186</v>
          </cell>
          <cell r="J140" t="str">
            <v>2026年秋冬A类报告号：260661531</v>
          </cell>
        </row>
        <row r="141">
          <cell r="A141" t="str">
            <v>JTG63375</v>
          </cell>
          <cell r="B141">
            <v>46199</v>
          </cell>
          <cell r="C141" t="str">
            <v>是</v>
          </cell>
          <cell r="D141" t="str">
            <v>26秋冬纯棉报告260653303-1</v>
          </cell>
        </row>
        <row r="141">
          <cell r="H141" t="str">
            <v>JKB63651</v>
          </cell>
          <cell r="I141">
            <v>46186</v>
          </cell>
          <cell r="J141" t="str">
            <v>2026年秋冬A类报告号：260661531</v>
          </cell>
        </row>
        <row r="142">
          <cell r="A142" t="str">
            <v>JQG63382</v>
          </cell>
          <cell r="B142">
            <v>46199</v>
          </cell>
          <cell r="C142" t="str">
            <v>是</v>
          </cell>
          <cell r="D142" t="str">
            <v>26秋冬纯棉报告260653303-1</v>
          </cell>
        </row>
        <row r="142">
          <cell r="H142" t="str">
            <v>JTB63652</v>
          </cell>
          <cell r="I142">
            <v>46186</v>
          </cell>
          <cell r="J142" t="str">
            <v>2026年秋冬A类报告号：260661531</v>
          </cell>
        </row>
        <row r="143">
          <cell r="A143" t="str">
            <v>JQG63405</v>
          </cell>
          <cell r="B143">
            <v>46199</v>
          </cell>
          <cell r="C143" t="str">
            <v>是</v>
          </cell>
          <cell r="D143" t="str">
            <v>26秋冬纯棉报告260653303-1</v>
          </cell>
        </row>
        <row r="143">
          <cell r="H143" t="str">
            <v>JXG63567</v>
          </cell>
          <cell r="I143">
            <v>46186</v>
          </cell>
          <cell r="J143" t="str">
            <v>2026年秋冬A类报告号：260661531</v>
          </cell>
        </row>
        <row r="144">
          <cell r="A144" t="str">
            <v>JQG63906</v>
          </cell>
          <cell r="B144">
            <v>46199</v>
          </cell>
          <cell r="C144" t="str">
            <v>是</v>
          </cell>
          <cell r="D144" t="str">
            <v>26秋冬纯棉报告260653303-1</v>
          </cell>
        </row>
        <row r="144">
          <cell r="H144" t="str">
            <v>JXG63568</v>
          </cell>
          <cell r="I144">
            <v>46186</v>
          </cell>
          <cell r="J144" t="str">
            <v>2026年秋冬A类报告号：260661531</v>
          </cell>
        </row>
        <row r="145">
          <cell r="A145" t="str">
            <v>JTG63394</v>
          </cell>
          <cell r="B145">
            <v>46199</v>
          </cell>
          <cell r="C145" t="str">
            <v>是</v>
          </cell>
          <cell r="D145" t="str">
            <v>26秋冬纯棉报告260653303-1</v>
          </cell>
        </row>
        <row r="145">
          <cell r="H145" t="str">
            <v>JXG63569</v>
          </cell>
          <cell r="I145">
            <v>46186</v>
          </cell>
          <cell r="J145" t="str">
            <v>2026年秋冬A类报告号：260661531</v>
          </cell>
        </row>
        <row r="146">
          <cell r="A146" t="str">
            <v>JKG63396</v>
          </cell>
          <cell r="B146">
            <v>46199</v>
          </cell>
          <cell r="C146" t="str">
            <v>是</v>
          </cell>
          <cell r="D146" t="str">
            <v>26秋冬纯棉报告260653303-1</v>
          </cell>
        </row>
        <row r="146">
          <cell r="H146" t="str">
            <v>JTG63570</v>
          </cell>
          <cell r="I146">
            <v>46186</v>
          </cell>
          <cell r="J146" t="str">
            <v>2026年秋冬A类报告号：260661531</v>
          </cell>
        </row>
        <row r="147">
          <cell r="A147" t="str">
            <v>JTG63926</v>
          </cell>
          <cell r="B147">
            <v>46199</v>
          </cell>
          <cell r="C147" t="str">
            <v>是</v>
          </cell>
          <cell r="D147" t="str">
            <v>26秋冬纯棉报告260653303-1</v>
          </cell>
        </row>
        <row r="147">
          <cell r="H147" t="str">
            <v>JJG65501</v>
          </cell>
          <cell r="I147">
            <v>46186</v>
          </cell>
          <cell r="J147" t="str">
            <v>2026年秋冬A类报告号：260661531</v>
          </cell>
        </row>
        <row r="148">
          <cell r="A148" t="str">
            <v>JKN63340</v>
          </cell>
          <cell r="B148">
            <v>46199</v>
          </cell>
          <cell r="C148" t="str">
            <v>是</v>
          </cell>
          <cell r="D148" t="str">
            <v>26秋冬纯棉报告260653303-1</v>
          </cell>
        </row>
        <row r="148">
          <cell r="H148" t="str">
            <v>JRG63829</v>
          </cell>
          <cell r="I148">
            <v>46186</v>
          </cell>
          <cell r="J148" t="str">
            <v>2026年秋冬A类报告号：260661531</v>
          </cell>
        </row>
        <row r="149">
          <cell r="A149" t="str">
            <v>JQG63440</v>
          </cell>
          <cell r="B149">
            <v>46199</v>
          </cell>
          <cell r="C149" t="str">
            <v>是</v>
          </cell>
          <cell r="D149" t="str">
            <v>26秋冬纯棉报告260653303-1</v>
          </cell>
        </row>
        <row r="149">
          <cell r="H149" t="str">
            <v>JTB63033</v>
          </cell>
          <cell r="I149">
            <v>46186</v>
          </cell>
          <cell r="J149" t="str">
            <v>2026年秋冬A类报告号：260661531</v>
          </cell>
        </row>
        <row r="150">
          <cell r="A150" t="str">
            <v>JTG63334</v>
          </cell>
          <cell r="B150">
            <v>46199</v>
          </cell>
          <cell r="C150" t="str">
            <v>是</v>
          </cell>
          <cell r="D150" t="str">
            <v>26秋冬纯棉报告260653303-1</v>
          </cell>
        </row>
        <row r="150">
          <cell r="H150" t="str">
            <v>JRB63573</v>
          </cell>
          <cell r="I150">
            <v>46186</v>
          </cell>
          <cell r="J150" t="str">
            <v>2026年秋冬A类报告号：260661531</v>
          </cell>
        </row>
        <row r="151">
          <cell r="A151" t="str">
            <v>JCG63447</v>
          </cell>
          <cell r="B151">
            <v>46199</v>
          </cell>
          <cell r="C151" t="str">
            <v>是</v>
          </cell>
          <cell r="D151" t="str">
            <v>26秋冬纯棉报告260653303-1</v>
          </cell>
        </row>
        <row r="151">
          <cell r="H151" t="str">
            <v>JJB63572</v>
          </cell>
          <cell r="I151">
            <v>46186</v>
          </cell>
          <cell r="J151" t="str">
            <v>2026年秋冬A类报告号：260661531</v>
          </cell>
        </row>
        <row r="152">
          <cell r="A152" t="str">
            <v>JXG63446</v>
          </cell>
          <cell r="B152">
            <v>46199</v>
          </cell>
          <cell r="C152" t="str">
            <v>是</v>
          </cell>
          <cell r="D152" t="str">
            <v>26秋冬纯棉报告260653303-1</v>
          </cell>
        </row>
        <row r="152">
          <cell r="H152" t="str">
            <v>JJG63571</v>
          </cell>
          <cell r="I152">
            <v>46186</v>
          </cell>
          <cell r="J152" t="str">
            <v>2026年秋冬A类报告号：260661531</v>
          </cell>
        </row>
        <row r="153">
          <cell r="A153" t="str">
            <v>JKG63420</v>
          </cell>
        </row>
        <row r="153">
          <cell r="C153" t="str">
            <v>是</v>
          </cell>
        </row>
        <row r="153">
          <cell r="H153" t="str">
            <v>JTG63832</v>
          </cell>
          <cell r="I153">
            <v>46186</v>
          </cell>
          <cell r="J153" t="str">
            <v>2026年秋冬A类报告号：260661531</v>
          </cell>
        </row>
        <row r="154">
          <cell r="A154" t="str">
            <v>JKN63449</v>
          </cell>
        </row>
        <row r="154">
          <cell r="C154" t="str">
            <v>是</v>
          </cell>
        </row>
        <row r="154">
          <cell r="H154" t="str">
            <v>JTG63833</v>
          </cell>
          <cell r="I154">
            <v>46186</v>
          </cell>
          <cell r="J154" t="str">
            <v>2026年秋冬A类报告号：260661531</v>
          </cell>
        </row>
        <row r="155">
          <cell r="A155" t="str">
            <v>JKG65040</v>
          </cell>
        </row>
        <row r="155">
          <cell r="C155" t="str">
            <v>是</v>
          </cell>
        </row>
        <row r="155">
          <cell r="H155" t="str">
            <v>JTG63834</v>
          </cell>
          <cell r="I155">
            <v>46186</v>
          </cell>
          <cell r="J155" t="str">
            <v>2026年秋冬A类报告号：260661531</v>
          </cell>
        </row>
        <row r="156">
          <cell r="H156" t="str">
            <v>JTG63036</v>
          </cell>
          <cell r="I156">
            <v>46186</v>
          </cell>
          <cell r="J156" t="str">
            <v>2026年秋冬A类报告号：260661531</v>
          </cell>
        </row>
        <row r="157">
          <cell r="H157" t="str">
            <v>JTB63037</v>
          </cell>
          <cell r="I157">
            <v>46186</v>
          </cell>
          <cell r="J157" t="str">
            <v>2026年秋冬A类报告号：260661531</v>
          </cell>
        </row>
        <row r="158">
          <cell r="H158" t="str">
            <v>JMG65006</v>
          </cell>
          <cell r="I158">
            <v>46186</v>
          </cell>
          <cell r="J158" t="str">
            <v>2026年秋冬A类报告号：260661531</v>
          </cell>
        </row>
        <row r="159">
          <cell r="H159" t="str">
            <v>JJG63034</v>
          </cell>
          <cell r="I159">
            <v>46186</v>
          </cell>
          <cell r="J159" t="str">
            <v>2026年秋冬A类报告号：260661531</v>
          </cell>
        </row>
        <row r="160">
          <cell r="H160" t="str">
            <v>JTG63576</v>
          </cell>
          <cell r="I160">
            <v>46186</v>
          </cell>
          <cell r="J160" t="str">
            <v>2026年秋冬A类报告号：260661531</v>
          </cell>
        </row>
        <row r="161">
          <cell r="H161" t="str">
            <v>JTG63574</v>
          </cell>
          <cell r="I161">
            <v>46186</v>
          </cell>
          <cell r="J161" t="str">
            <v>2026年秋冬A类报告号：260661531</v>
          </cell>
        </row>
        <row r="162">
          <cell r="H162" t="str">
            <v>JJG63575</v>
          </cell>
          <cell r="I162">
            <v>46186</v>
          </cell>
          <cell r="J162" t="str">
            <v>2026年秋冬A类报告号：260661531</v>
          </cell>
        </row>
        <row r="163">
          <cell r="H163" t="str">
            <v>JKG63038</v>
          </cell>
          <cell r="I163">
            <v>46186</v>
          </cell>
          <cell r="J163" t="str">
            <v>2026年秋冬A类报告号：260661531</v>
          </cell>
        </row>
        <row r="164">
          <cell r="H164" t="str">
            <v>JCG63836</v>
          </cell>
          <cell r="I164">
            <v>46186</v>
          </cell>
          <cell r="J164" t="str">
            <v>2026年秋冬A类报告号：260661531</v>
          </cell>
        </row>
        <row r="165">
          <cell r="H165" t="str">
            <v>JCG63838</v>
          </cell>
          <cell r="I165">
            <v>46186</v>
          </cell>
          <cell r="J165" t="str">
            <v>2026年秋冬A类报告号：260661531</v>
          </cell>
        </row>
        <row r="166">
          <cell r="H166" t="str">
            <v>JJN63844</v>
          </cell>
          <cell r="I166">
            <v>46186</v>
          </cell>
          <cell r="J166" t="str">
            <v>2026年秋冬A类报告号：260661531</v>
          </cell>
        </row>
        <row r="167">
          <cell r="H167" t="str">
            <v>JJN63845</v>
          </cell>
          <cell r="I167">
            <v>46186</v>
          </cell>
          <cell r="J167" t="str">
            <v>2026年秋冬A类报告号：260661531</v>
          </cell>
        </row>
        <row r="168">
          <cell r="H168" t="str">
            <v>JJG63846</v>
          </cell>
          <cell r="I168">
            <v>46186</v>
          </cell>
          <cell r="J168" t="str">
            <v>2026年秋冬A类报告号：260661531</v>
          </cell>
        </row>
        <row r="169">
          <cell r="H169" t="str">
            <v>JJG63847</v>
          </cell>
          <cell r="I169">
            <v>46186</v>
          </cell>
          <cell r="J169" t="str">
            <v>2026年秋冬A类报告号：260661531</v>
          </cell>
        </row>
        <row r="170">
          <cell r="H170" t="str">
            <v>JXG63586</v>
          </cell>
          <cell r="I170">
            <v>46186</v>
          </cell>
          <cell r="J170" t="str">
            <v>2026年秋冬A类报告号：260661531</v>
          </cell>
        </row>
        <row r="171">
          <cell r="H171" t="str">
            <v>JXG63582</v>
          </cell>
          <cell r="I171">
            <v>46186</v>
          </cell>
          <cell r="J171" t="str">
            <v>2026年秋冬A类报告号：260661531</v>
          </cell>
        </row>
        <row r="172">
          <cell r="H172" t="str">
            <v>JKG63583</v>
          </cell>
          <cell r="I172">
            <v>46186</v>
          </cell>
          <cell r="J172" t="str">
            <v>2026年秋冬A类报告号：260661531</v>
          </cell>
        </row>
        <row r="173">
          <cell r="H173" t="str">
            <v>JLG63653</v>
          </cell>
          <cell r="I173">
            <v>46186</v>
          </cell>
          <cell r="J173" t="str">
            <v>2026年秋冬A类报告号：260661531</v>
          </cell>
        </row>
        <row r="174">
          <cell r="H174" t="str">
            <v>JLG63655</v>
          </cell>
          <cell r="I174">
            <v>46186</v>
          </cell>
          <cell r="J174" t="str">
            <v>2026年秋冬A类报告号：260661531</v>
          </cell>
        </row>
        <row r="175">
          <cell r="H175" t="str">
            <v>JKN63659</v>
          </cell>
          <cell r="I175">
            <v>46186</v>
          </cell>
          <cell r="J175" t="str">
            <v>2026年秋冬A类报告号：260661531</v>
          </cell>
        </row>
        <row r="176">
          <cell r="H176" t="str">
            <v>JXN63660</v>
          </cell>
          <cell r="I176">
            <v>46186</v>
          </cell>
          <cell r="J176" t="str">
            <v>2026年秋冬A类报告号：260661531</v>
          </cell>
        </row>
        <row r="177">
          <cell r="H177" t="str">
            <v>JJG63661</v>
          </cell>
          <cell r="I177">
            <v>46186</v>
          </cell>
          <cell r="J177" t="str">
            <v>2026年秋冬A类报告号：260661531</v>
          </cell>
        </row>
        <row r="178">
          <cell r="H178" t="str">
            <v>JJG63662</v>
          </cell>
          <cell r="I178">
            <v>46186</v>
          </cell>
          <cell r="J178" t="str">
            <v>2026年秋冬A类报告号：260661531</v>
          </cell>
        </row>
        <row r="179">
          <cell r="H179" t="str">
            <v>JJG63663</v>
          </cell>
          <cell r="I179">
            <v>46186</v>
          </cell>
          <cell r="J179" t="str">
            <v>2026年秋冬A类报告号：260661531</v>
          </cell>
        </row>
        <row r="180">
          <cell r="H180" t="str">
            <v>JJG63664</v>
          </cell>
          <cell r="I180">
            <v>46186</v>
          </cell>
          <cell r="J180" t="str">
            <v>2026年秋冬A类报告号：260661531</v>
          </cell>
        </row>
        <row r="181">
          <cell r="H181" t="str">
            <v>JJB63665</v>
          </cell>
          <cell r="I181">
            <v>46186</v>
          </cell>
          <cell r="J181" t="str">
            <v>2026年秋冬A类报告号：260661531</v>
          </cell>
        </row>
        <row r="182">
          <cell r="H182" t="str">
            <v>JQG63666</v>
          </cell>
          <cell r="I182">
            <v>46186</v>
          </cell>
          <cell r="J182" t="str">
            <v>2026年秋冬A类报告号：260661531</v>
          </cell>
        </row>
        <row r="183">
          <cell r="H183" t="str">
            <v>JJG65601</v>
          </cell>
          <cell r="I183">
            <v>46186</v>
          </cell>
          <cell r="J183" t="str">
            <v>2026年秋冬A类报告号：260661531</v>
          </cell>
        </row>
        <row r="184">
          <cell r="H184" t="str">
            <v>JDG63041</v>
          </cell>
          <cell r="I184">
            <v>46186</v>
          </cell>
          <cell r="J184" t="str">
            <v>2026年秋冬A类报告号：260661531</v>
          </cell>
        </row>
        <row r="185">
          <cell r="H185" t="str">
            <v>JJG63042</v>
          </cell>
          <cell r="I185">
            <v>46186</v>
          </cell>
          <cell r="J185" t="str">
            <v>2026年秋冬A类报告号：260661531</v>
          </cell>
        </row>
        <row r="186">
          <cell r="H186" t="str">
            <v>JLG63043</v>
          </cell>
          <cell r="I186">
            <v>46186</v>
          </cell>
          <cell r="J186" t="str">
            <v>2026年秋冬A类报告号：260661531</v>
          </cell>
        </row>
        <row r="187">
          <cell r="H187" t="str">
            <v>JMG63045</v>
          </cell>
          <cell r="I187">
            <v>46186</v>
          </cell>
          <cell r="J187" t="str">
            <v>2026年秋冬A类报告号：260661531</v>
          </cell>
        </row>
        <row r="188">
          <cell r="H188" t="str">
            <v>JAB64001</v>
          </cell>
          <cell r="I188">
            <v>46186</v>
          </cell>
          <cell r="J188" t="str">
            <v>2026年秋冬A类报告号：260661531</v>
          </cell>
        </row>
        <row r="189">
          <cell r="H189" t="str">
            <v>JQG63578</v>
          </cell>
          <cell r="I189">
            <v>46186</v>
          </cell>
          <cell r="J189" t="str">
            <v>2026年秋冬A类报告号：260661531</v>
          </cell>
        </row>
        <row r="190">
          <cell r="H190" t="str">
            <v>JCG63579</v>
          </cell>
          <cell r="I190">
            <v>46186</v>
          </cell>
          <cell r="J190" t="str">
            <v>2026年秋冬A类报告号：260661531</v>
          </cell>
        </row>
        <row r="191">
          <cell r="H191" t="str">
            <v>JKG63580</v>
          </cell>
          <cell r="I191">
            <v>46186</v>
          </cell>
          <cell r="J191" t="str">
            <v>2026年秋冬A类报告号：260661531</v>
          </cell>
        </row>
        <row r="192">
          <cell r="H192" t="str">
            <v>JAN64005</v>
          </cell>
          <cell r="I192">
            <v>46186</v>
          </cell>
          <cell r="J192" t="str">
            <v>2026年秋冬A类报告号：260661531</v>
          </cell>
        </row>
        <row r="193">
          <cell r="H193" t="str">
            <v>JXG63595</v>
          </cell>
          <cell r="I193">
            <v>46186</v>
          </cell>
          <cell r="J193" t="str">
            <v>2026年秋冬A类报告号：260661531</v>
          </cell>
        </row>
        <row r="194">
          <cell r="H194" t="str">
            <v>JXB63587</v>
          </cell>
          <cell r="I194">
            <v>46186</v>
          </cell>
          <cell r="J194" t="str">
            <v>2026年秋冬A类报告号：260661531</v>
          </cell>
        </row>
        <row r="195">
          <cell r="H195" t="str">
            <v>JRB63588</v>
          </cell>
          <cell r="I195">
            <v>46186</v>
          </cell>
          <cell r="J195" t="str">
            <v>2026年秋冬A类报告号：260661531</v>
          </cell>
        </row>
        <row r="196">
          <cell r="H196" t="str">
            <v>JQG63589</v>
          </cell>
          <cell r="I196">
            <v>46186</v>
          </cell>
          <cell r="J196" t="str">
            <v>2026年秋冬A类报告号：260661531</v>
          </cell>
        </row>
        <row r="197">
          <cell r="H197" t="str">
            <v>JQG63590</v>
          </cell>
          <cell r="I197">
            <v>46186</v>
          </cell>
          <cell r="J197" t="str">
            <v>2026年秋冬A类报告号：260661531</v>
          </cell>
        </row>
        <row r="198">
          <cell r="H198" t="str">
            <v>JKG63591</v>
          </cell>
          <cell r="I198">
            <v>46186</v>
          </cell>
          <cell r="J198" t="str">
            <v>2026年秋冬A类报告号：260661531</v>
          </cell>
        </row>
        <row r="199">
          <cell r="H199" t="str">
            <v>JNN65506</v>
          </cell>
          <cell r="I199">
            <v>46186</v>
          </cell>
          <cell r="J199" t="str">
            <v>2026年秋冬A类报告号：260661531</v>
          </cell>
        </row>
        <row r="200">
          <cell r="H200" t="str">
            <v>JTB63592</v>
          </cell>
          <cell r="I200">
            <v>46186</v>
          </cell>
          <cell r="J200" t="str">
            <v>2026年秋冬A类报告号：260661531</v>
          </cell>
        </row>
        <row r="201">
          <cell r="H201" t="str">
            <v>JTB63593</v>
          </cell>
          <cell r="I201">
            <v>46186</v>
          </cell>
          <cell r="J201" t="str">
            <v>2026年秋冬A类报告号：260661531</v>
          </cell>
        </row>
        <row r="202">
          <cell r="H202" t="str">
            <v>JRN65503</v>
          </cell>
          <cell r="I202">
            <v>46186</v>
          </cell>
          <cell r="J202" t="str">
            <v>2026年秋冬A类报告号：260661531</v>
          </cell>
        </row>
        <row r="203">
          <cell r="H203" t="str">
            <v>JKN65504</v>
          </cell>
          <cell r="I203">
            <v>46186</v>
          </cell>
          <cell r="J203" t="str">
            <v>2026年秋冬A类报告号：260661531</v>
          </cell>
        </row>
        <row r="204">
          <cell r="H204" t="str">
            <v>JAG64507</v>
          </cell>
          <cell r="I204">
            <v>46186</v>
          </cell>
          <cell r="J204" t="str">
            <v>2026年秋冬A类报告号：260661531</v>
          </cell>
        </row>
        <row r="205">
          <cell r="H205" t="str">
            <v>JTG63668</v>
          </cell>
          <cell r="I205">
            <v>46186</v>
          </cell>
          <cell r="J205" t="str">
            <v>2026年秋冬A类报告号：260661531</v>
          </cell>
        </row>
        <row r="206">
          <cell r="H206" t="str">
            <v>JTG63669</v>
          </cell>
          <cell r="I206">
            <v>46186</v>
          </cell>
          <cell r="J206" t="str">
            <v>2026年秋冬A类报告号：260661531</v>
          </cell>
        </row>
        <row r="207">
          <cell r="H207" t="str">
            <v>JXG63674</v>
          </cell>
          <cell r="I207">
            <v>46186</v>
          </cell>
          <cell r="J207" t="str">
            <v>2026年秋冬A类报告号：260661531</v>
          </cell>
        </row>
        <row r="208">
          <cell r="H208" t="str">
            <v>JXN63675</v>
          </cell>
          <cell r="I208">
            <v>46186</v>
          </cell>
          <cell r="J208" t="str">
            <v>2026年秋冬A类报告号：260661531</v>
          </cell>
        </row>
        <row r="209">
          <cell r="H209" t="str">
            <v>JXG63676</v>
          </cell>
          <cell r="I209">
            <v>46186</v>
          </cell>
          <cell r="J209" t="str">
            <v>2026年秋冬A类报告号：260661531</v>
          </cell>
        </row>
        <row r="210">
          <cell r="H210" t="str">
            <v>JXG63677</v>
          </cell>
          <cell r="I210">
            <v>46186</v>
          </cell>
          <cell r="J210" t="str">
            <v>2026年秋冬A类报告号：260661531</v>
          </cell>
        </row>
        <row r="211">
          <cell r="H211" t="str">
            <v>JJG65602</v>
          </cell>
          <cell r="I211">
            <v>46186</v>
          </cell>
          <cell r="J211" t="str">
            <v>2026年秋冬A类报告号：260661531</v>
          </cell>
        </row>
        <row r="212">
          <cell r="H212" t="str">
            <v>JKG63848</v>
          </cell>
          <cell r="I212">
            <v>46186</v>
          </cell>
          <cell r="J212" t="str">
            <v>2026年秋冬A类报告号：260661531</v>
          </cell>
        </row>
        <row r="213">
          <cell r="H213" t="str">
            <v>JNG63849</v>
          </cell>
          <cell r="I213">
            <v>46186</v>
          </cell>
          <cell r="J213" t="str">
            <v>2026年秋冬A类报告号：260661531</v>
          </cell>
        </row>
        <row r="214">
          <cell r="H214" t="str">
            <v>JZG63850</v>
          </cell>
          <cell r="I214">
            <v>46186</v>
          </cell>
          <cell r="J214" t="str">
            <v>2026年秋冬A类报告号：260661531</v>
          </cell>
        </row>
        <row r="215">
          <cell r="H215" t="str">
            <v>JHG63851</v>
          </cell>
          <cell r="I215">
            <v>46186</v>
          </cell>
          <cell r="J215" t="str">
            <v>2026年秋冬A类报告号：260661531</v>
          </cell>
        </row>
        <row r="216">
          <cell r="H216" t="str">
            <v>JXG63852</v>
          </cell>
          <cell r="I216">
            <v>46186</v>
          </cell>
          <cell r="J216" t="str">
            <v>2026年秋冬A类报告号：260661531</v>
          </cell>
        </row>
        <row r="217">
          <cell r="H217" t="str">
            <v>JTG63853</v>
          </cell>
          <cell r="I217">
            <v>46186</v>
          </cell>
          <cell r="J217" t="str">
            <v>2026年秋冬A类报告号：260661531</v>
          </cell>
        </row>
        <row r="218">
          <cell r="H218" t="str">
            <v>JJB65809</v>
          </cell>
          <cell r="I218">
            <v>46186</v>
          </cell>
          <cell r="J218" t="str">
            <v>2026年秋冬A类报告号：260661531</v>
          </cell>
        </row>
        <row r="219">
          <cell r="H219" t="str">
            <v>JKB65810</v>
          </cell>
          <cell r="I219">
            <v>46186</v>
          </cell>
          <cell r="J219" t="str">
            <v>2026年秋冬A类报告号：260661531</v>
          </cell>
        </row>
        <row r="220">
          <cell r="H220" t="str">
            <v>JGB63046</v>
          </cell>
          <cell r="I220">
            <v>46186</v>
          </cell>
          <cell r="J220" t="str">
            <v>2026年秋冬A类报告号：260661531</v>
          </cell>
        </row>
        <row r="221">
          <cell r="H221" t="str">
            <v>JGB63047</v>
          </cell>
          <cell r="I221">
            <v>46186</v>
          </cell>
          <cell r="J221" t="str">
            <v>2026年秋冬A类报告号：260661531</v>
          </cell>
        </row>
        <row r="222">
          <cell r="H222" t="str">
            <v>JDG63048</v>
          </cell>
          <cell r="I222">
            <v>46186</v>
          </cell>
          <cell r="J222" t="str">
            <v>2026年秋冬A类报告号：260661531</v>
          </cell>
        </row>
        <row r="223">
          <cell r="H223" t="str">
            <v>JKG63049</v>
          </cell>
          <cell r="I223">
            <v>46186</v>
          </cell>
          <cell r="J223" t="str">
            <v>2026年秋冬A类报告号：260661531</v>
          </cell>
        </row>
        <row r="224">
          <cell r="H224" t="str">
            <v>JHG63599</v>
          </cell>
          <cell r="I224">
            <v>46186</v>
          </cell>
          <cell r="J224" t="str">
            <v>2026年秋冬A类报告号：260661531</v>
          </cell>
        </row>
        <row r="225">
          <cell r="H225" t="str">
            <v>JJG63450</v>
          </cell>
          <cell r="I225">
            <v>46186</v>
          </cell>
          <cell r="J225" t="str">
            <v>2026年秋冬A类报告号：260661531</v>
          </cell>
        </row>
        <row r="226">
          <cell r="H226" t="str">
            <v>JJG63451</v>
          </cell>
          <cell r="I226">
            <v>46186</v>
          </cell>
          <cell r="J226" t="str">
            <v>2026年秋冬A类报告号：260661531</v>
          </cell>
        </row>
        <row r="227">
          <cell r="H227" t="str">
            <v>JXG63452</v>
          </cell>
          <cell r="I227">
            <v>46186</v>
          </cell>
          <cell r="J227" t="str">
            <v>2026年秋冬A类报告号：260661531</v>
          </cell>
        </row>
        <row r="228">
          <cell r="H228" t="str">
            <v>JXG63453</v>
          </cell>
          <cell r="I228">
            <v>46186</v>
          </cell>
          <cell r="J228" t="str">
            <v>2026年秋冬A类报告号：260661531</v>
          </cell>
        </row>
        <row r="229">
          <cell r="H229" t="str">
            <v>JXG63454</v>
          </cell>
          <cell r="I229">
            <v>46186</v>
          </cell>
          <cell r="J229" t="str">
            <v>2026年秋冬A类报告号：260661531</v>
          </cell>
        </row>
        <row r="230">
          <cell r="H230" t="str">
            <v>JDG63457</v>
          </cell>
          <cell r="I230">
            <v>46186</v>
          </cell>
          <cell r="J230" t="str">
            <v>2026年秋冬A类报告号：260661531</v>
          </cell>
        </row>
        <row r="231">
          <cell r="H231" t="str">
            <v>JKG63458</v>
          </cell>
          <cell r="I231">
            <v>46186</v>
          </cell>
          <cell r="J231" t="str">
            <v>2026年秋冬A类报告号：260661531</v>
          </cell>
        </row>
        <row r="232">
          <cell r="H232" t="str">
            <v>JTG63459</v>
          </cell>
          <cell r="I232">
            <v>46186</v>
          </cell>
          <cell r="J232" t="str">
            <v>2026年秋冬A类报告号：260661531</v>
          </cell>
        </row>
        <row r="233">
          <cell r="H233" t="str">
            <v>JTG63460</v>
          </cell>
          <cell r="I233">
            <v>46186</v>
          </cell>
          <cell r="J233" t="str">
            <v>2026年秋冬A类报告号：260661531</v>
          </cell>
        </row>
        <row r="234">
          <cell r="H234" t="str">
            <v>JXG63050</v>
          </cell>
          <cell r="I234">
            <v>46186</v>
          </cell>
          <cell r="J234" t="str">
            <v>2026年秋冬A类报告号：260661531</v>
          </cell>
        </row>
        <row r="235">
          <cell r="H235" t="str">
            <v>JJG63054</v>
          </cell>
          <cell r="I235">
            <v>46186</v>
          </cell>
          <cell r="J235" t="str">
            <v>2026年秋冬A类报告号：260661531</v>
          </cell>
        </row>
        <row r="236">
          <cell r="H236" t="str">
            <v>JJN63056</v>
          </cell>
          <cell r="I236">
            <v>46186</v>
          </cell>
          <cell r="J236" t="str">
            <v>2026年秋冬A类报告号：260661531</v>
          </cell>
        </row>
        <row r="237">
          <cell r="H237" t="str">
            <v>JHN63057</v>
          </cell>
          <cell r="I237">
            <v>46186</v>
          </cell>
          <cell r="J237" t="str">
            <v>2026年秋冬A类报告号：260661531</v>
          </cell>
        </row>
        <row r="238">
          <cell r="H238" t="str">
            <v>JDG63058</v>
          </cell>
          <cell r="I238">
            <v>46186</v>
          </cell>
          <cell r="J238" t="str">
            <v>2026年秋冬A类报告号：260661531</v>
          </cell>
        </row>
        <row r="239">
          <cell r="H239" t="str">
            <v>JAN64002</v>
          </cell>
          <cell r="I239">
            <v>46186</v>
          </cell>
          <cell r="J239" t="str">
            <v>2026年秋冬A类报告号：260661531</v>
          </cell>
        </row>
        <row r="240">
          <cell r="H240" t="str">
            <v>JKG63059</v>
          </cell>
          <cell r="I240">
            <v>46186</v>
          </cell>
          <cell r="J240" t="str">
            <v>2026年秋冬A类报告号：260661531</v>
          </cell>
        </row>
        <row r="241">
          <cell r="H241" t="str">
            <v>JJG63060</v>
          </cell>
          <cell r="I241">
            <v>46186</v>
          </cell>
          <cell r="J241" t="str">
            <v>2026年秋冬A类报告号：260661531</v>
          </cell>
        </row>
        <row r="242">
          <cell r="H242" t="str">
            <v>JTG63678</v>
          </cell>
          <cell r="I242">
            <v>46186</v>
          </cell>
          <cell r="J242" t="str">
            <v>2026年秋冬A类报告号：260661531</v>
          </cell>
        </row>
        <row r="243">
          <cell r="H243" t="str">
            <v>JLG63679</v>
          </cell>
          <cell r="I243">
            <v>46186</v>
          </cell>
          <cell r="J243" t="str">
            <v>2026年秋冬A类报告号：260661531</v>
          </cell>
        </row>
        <row r="244">
          <cell r="H244" t="str">
            <v>JLG63680</v>
          </cell>
          <cell r="I244">
            <v>46186</v>
          </cell>
          <cell r="J244" t="str">
            <v>2026年秋冬A类报告号：260661531</v>
          </cell>
        </row>
        <row r="245">
          <cell r="H245" t="str">
            <v>JKG63682</v>
          </cell>
          <cell r="I245">
            <v>46186</v>
          </cell>
          <cell r="J245" t="str">
            <v>2026年秋冬A类报告号：260661531</v>
          </cell>
        </row>
        <row r="246">
          <cell r="H246" t="str">
            <v>JXG63683</v>
          </cell>
          <cell r="I246">
            <v>46186</v>
          </cell>
          <cell r="J246" t="str">
            <v>2026年秋冬A类报告号：260661531</v>
          </cell>
        </row>
        <row r="247">
          <cell r="H247" t="str">
            <v>JXG63684</v>
          </cell>
          <cell r="I247">
            <v>46186</v>
          </cell>
          <cell r="J247" t="str">
            <v>2026年秋冬A类报告号：260661531</v>
          </cell>
        </row>
        <row r="248">
          <cell r="H248" t="str">
            <v>JXG63685</v>
          </cell>
          <cell r="I248">
            <v>46186</v>
          </cell>
          <cell r="J248" t="str">
            <v>2026年秋冬A类报告号：260661531</v>
          </cell>
        </row>
        <row r="249">
          <cell r="H249" t="str">
            <v>JGG63687</v>
          </cell>
          <cell r="I249">
            <v>46186</v>
          </cell>
          <cell r="J249" t="str">
            <v>2026年秋冬A类报告号：260661531</v>
          </cell>
        </row>
        <row r="250">
          <cell r="H250" t="str">
            <v>JKB63688</v>
          </cell>
          <cell r="I250">
            <v>46186</v>
          </cell>
          <cell r="J250" t="str">
            <v>2026年秋冬A类报告号：260661531</v>
          </cell>
        </row>
        <row r="251">
          <cell r="H251" t="str">
            <v>JLG63855</v>
          </cell>
          <cell r="I251">
            <v>46186</v>
          </cell>
          <cell r="J251" t="str">
            <v>2026年秋冬A类报告号：260661531</v>
          </cell>
        </row>
        <row r="252">
          <cell r="H252" t="str">
            <v>JJG63857</v>
          </cell>
          <cell r="I252">
            <v>46186</v>
          </cell>
          <cell r="J252" t="str">
            <v>2026年秋冬A类报告号：260661531</v>
          </cell>
        </row>
        <row r="253">
          <cell r="H253" t="str">
            <v>JTG63858</v>
          </cell>
          <cell r="I253">
            <v>46186</v>
          </cell>
          <cell r="J253" t="str">
            <v>2026年秋冬A类报告号：260661531</v>
          </cell>
        </row>
        <row r="254">
          <cell r="H254" t="str">
            <v>JXG63859</v>
          </cell>
          <cell r="I254">
            <v>46186</v>
          </cell>
          <cell r="J254" t="str">
            <v>2026年秋冬A类报告号：260661531</v>
          </cell>
        </row>
        <row r="255">
          <cell r="H255" t="str">
            <v>JXB63864</v>
          </cell>
          <cell r="I255">
            <v>46186</v>
          </cell>
          <cell r="J255" t="str">
            <v>2026年秋冬A类报告号：260661531</v>
          </cell>
        </row>
        <row r="256">
          <cell r="H256" t="str">
            <v>JMB63865</v>
          </cell>
          <cell r="I256">
            <v>46186</v>
          </cell>
          <cell r="J256" t="str">
            <v>2026年秋冬A类报告号：260661531</v>
          </cell>
        </row>
        <row r="257">
          <cell r="H257" t="str">
            <v>JTB63867</v>
          </cell>
          <cell r="I257">
            <v>46186</v>
          </cell>
          <cell r="J257" t="str">
            <v>2026年秋冬A类报告号：260661531</v>
          </cell>
        </row>
        <row r="258">
          <cell r="H258" t="str">
            <v>JHB63868</v>
          </cell>
          <cell r="I258">
            <v>46186</v>
          </cell>
          <cell r="J258" t="str">
            <v>2026年秋冬A类报告号：260661531</v>
          </cell>
        </row>
        <row r="259">
          <cell r="H259" t="str">
            <v>JTB63869</v>
          </cell>
          <cell r="I259">
            <v>46186</v>
          </cell>
          <cell r="J259" t="str">
            <v>2026年秋冬A类报告号：260661531</v>
          </cell>
        </row>
        <row r="260">
          <cell r="H260" t="str">
            <v>JXG63690</v>
          </cell>
          <cell r="I260">
            <v>46186</v>
          </cell>
          <cell r="J260" t="str">
            <v>2026年秋冬A类报告号：260661531</v>
          </cell>
        </row>
        <row r="261">
          <cell r="H261" t="str">
            <v>JXB63691</v>
          </cell>
          <cell r="I261">
            <v>46186</v>
          </cell>
          <cell r="J261" t="str">
            <v>2026年秋冬A类报告号：260661531</v>
          </cell>
        </row>
        <row r="262">
          <cell r="H262" t="str">
            <v>JTG63692</v>
          </cell>
          <cell r="I262">
            <v>46186</v>
          </cell>
          <cell r="J262" t="str">
            <v>2026年秋冬A类报告号：260661531</v>
          </cell>
        </row>
        <row r="263">
          <cell r="H263" t="str">
            <v>JLG63693</v>
          </cell>
          <cell r="I263">
            <v>46186</v>
          </cell>
          <cell r="J263" t="str">
            <v>2026年秋冬A类报告号：260661531</v>
          </cell>
        </row>
        <row r="264">
          <cell r="H264" t="str">
            <v>JJG63694</v>
          </cell>
          <cell r="I264">
            <v>46186</v>
          </cell>
          <cell r="J264" t="str">
            <v>2026年秋冬A类报告号：260661531</v>
          </cell>
        </row>
        <row r="265">
          <cell r="H265" t="str">
            <v>JKG63466</v>
          </cell>
          <cell r="I265">
            <v>46186</v>
          </cell>
          <cell r="J265" t="str">
            <v>2026年秋冬A类报告号：260661531</v>
          </cell>
        </row>
        <row r="266">
          <cell r="H266" t="str">
            <v>JTB63465</v>
          </cell>
          <cell r="I266">
            <v>46186</v>
          </cell>
          <cell r="J266" t="str">
            <v>2026年秋冬A类报告号：260661531</v>
          </cell>
        </row>
        <row r="267">
          <cell r="H267" t="str">
            <v>JRG63464</v>
          </cell>
          <cell r="I267">
            <v>46186</v>
          </cell>
          <cell r="J267" t="str">
            <v>2026年秋冬A类报告号：260661531</v>
          </cell>
        </row>
        <row r="268">
          <cell r="H268" t="str">
            <v>JTG63463</v>
          </cell>
          <cell r="I268">
            <v>46186</v>
          </cell>
          <cell r="J268" t="str">
            <v>2026年秋冬A类报告号：260661531</v>
          </cell>
        </row>
        <row r="269">
          <cell r="H269" t="str">
            <v>JXG63462</v>
          </cell>
          <cell r="I269">
            <v>46186</v>
          </cell>
          <cell r="J269" t="str">
            <v>2026年秋冬A类报告号：260661531</v>
          </cell>
        </row>
        <row r="270">
          <cell r="H270" t="str">
            <v>JTG63061</v>
          </cell>
          <cell r="I270">
            <v>46186</v>
          </cell>
          <cell r="J270" t="str">
            <v>2026年秋冬A类报告号：260661531</v>
          </cell>
        </row>
        <row r="271">
          <cell r="H271" t="str">
            <v>JJB63064</v>
          </cell>
          <cell r="I271">
            <v>46186</v>
          </cell>
          <cell r="J271" t="str">
            <v>2026年秋冬A类报告号：260661531</v>
          </cell>
        </row>
        <row r="272">
          <cell r="H272" t="str">
            <v>JKG63065</v>
          </cell>
          <cell r="I272">
            <v>46186</v>
          </cell>
          <cell r="J272" t="str">
            <v>2026年秋冬A类报告号：260661531</v>
          </cell>
        </row>
        <row r="273">
          <cell r="H273" t="str">
            <v>JXG63872</v>
          </cell>
          <cell r="I273">
            <v>46186</v>
          </cell>
          <cell r="J273" t="str">
            <v>2026年秋冬A类报告号：260661531</v>
          </cell>
        </row>
        <row r="274">
          <cell r="H274" t="str">
            <v>JJB63873</v>
          </cell>
          <cell r="I274">
            <v>46186</v>
          </cell>
          <cell r="J274" t="str">
            <v>2026年秋冬A类报告号：260661531</v>
          </cell>
        </row>
        <row r="275">
          <cell r="H275" t="str">
            <v>JJG63874</v>
          </cell>
          <cell r="I275">
            <v>46186</v>
          </cell>
          <cell r="J275" t="str">
            <v>2026年秋冬A类报告号：260661531</v>
          </cell>
        </row>
        <row r="276">
          <cell r="H276" t="str">
            <v>JXG63875</v>
          </cell>
          <cell r="I276">
            <v>46186</v>
          </cell>
          <cell r="J276" t="str">
            <v>2026年秋冬A类报告号：260661531</v>
          </cell>
        </row>
        <row r="277">
          <cell r="H277" t="str">
            <v>JNG60250</v>
          </cell>
          <cell r="I277">
            <v>46186</v>
          </cell>
          <cell r="J277" t="str">
            <v>2026年秋冬A类报告号：260661531</v>
          </cell>
        </row>
        <row r="278">
          <cell r="H278" t="str">
            <v>JNG60251</v>
          </cell>
          <cell r="I278">
            <v>46186</v>
          </cell>
          <cell r="J278" t="str">
            <v>2026年秋冬A类报告号：260661531</v>
          </cell>
        </row>
        <row r="279">
          <cell r="H279" t="str">
            <v>JMB65811</v>
          </cell>
          <cell r="I279">
            <v>46186</v>
          </cell>
          <cell r="J279" t="str">
            <v>2026年秋冬A类报告号：260661531</v>
          </cell>
        </row>
        <row r="280">
          <cell r="H280" t="str">
            <v>JJG63877</v>
          </cell>
          <cell r="I280">
            <v>46186</v>
          </cell>
          <cell r="J280" t="str">
            <v>2026年秋冬A类报告号：260661531</v>
          </cell>
        </row>
        <row r="281">
          <cell r="H281" t="str">
            <v>JDG63878</v>
          </cell>
          <cell r="I281">
            <v>46186</v>
          </cell>
          <cell r="J281" t="str">
            <v>2026年秋冬A类报告号：260661531</v>
          </cell>
        </row>
        <row r="282">
          <cell r="H282" t="str">
            <v>JKG63879</v>
          </cell>
          <cell r="I282">
            <v>46186</v>
          </cell>
          <cell r="J282" t="str">
            <v>2026年秋冬A类报告号：260661531</v>
          </cell>
        </row>
        <row r="283">
          <cell r="H283" t="str">
            <v>JAB64830</v>
          </cell>
          <cell r="I283">
            <v>46186</v>
          </cell>
          <cell r="J283" t="str">
            <v>2026年秋冬A类报告号：260661531</v>
          </cell>
        </row>
        <row r="284">
          <cell r="H284" t="str">
            <v>JMG63523</v>
          </cell>
          <cell r="I284">
            <v>46186</v>
          </cell>
          <cell r="J284" t="str">
            <v>2026年秋冬A类报告号：260661531</v>
          </cell>
        </row>
        <row r="285">
          <cell r="H285" t="str">
            <v>JNG65508</v>
          </cell>
          <cell r="I285">
            <v>46186</v>
          </cell>
          <cell r="J285" t="str">
            <v>2026年秋冬A类报告号：260661531</v>
          </cell>
        </row>
        <row r="286">
          <cell r="H286" t="str">
            <v>JTG63597</v>
          </cell>
          <cell r="I286">
            <v>46186</v>
          </cell>
          <cell r="J286" t="str">
            <v>2026年秋冬A类报告号：260661531</v>
          </cell>
        </row>
        <row r="287">
          <cell r="H287" t="str">
            <v>JTG63598</v>
          </cell>
          <cell r="I287">
            <v>46186</v>
          </cell>
          <cell r="J287" t="str">
            <v>2026年秋冬A类报告号：260661531</v>
          </cell>
        </row>
        <row r="288">
          <cell r="H288" t="str">
            <v>JTG63468</v>
          </cell>
          <cell r="I288">
            <v>46186</v>
          </cell>
          <cell r="J288" t="str">
            <v>2026年秋冬A类报告号：260661531</v>
          </cell>
        </row>
        <row r="289">
          <cell r="H289" t="str">
            <v>JTG63469</v>
          </cell>
          <cell r="I289">
            <v>46186</v>
          </cell>
          <cell r="J289" t="str">
            <v>2026年秋冬A类报告号：260661531</v>
          </cell>
        </row>
        <row r="290">
          <cell r="H290" t="str">
            <v>JZG63472</v>
          </cell>
          <cell r="I290">
            <v>46186</v>
          </cell>
          <cell r="J290" t="str">
            <v>2026年秋冬A类报告号：260661531</v>
          </cell>
        </row>
        <row r="291">
          <cell r="H291" t="str">
            <v>JZG63471</v>
          </cell>
          <cell r="I291">
            <v>46186</v>
          </cell>
          <cell r="J291" t="str">
            <v>2026年秋冬A类报告号：260661531</v>
          </cell>
        </row>
        <row r="292">
          <cell r="H292" t="str">
            <v>JXG63470</v>
          </cell>
          <cell r="I292">
            <v>46186</v>
          </cell>
          <cell r="J292" t="str">
            <v>2026年秋冬A类报告号：260661531</v>
          </cell>
        </row>
        <row r="293">
          <cell r="H293" t="str">
            <v>JJN63881</v>
          </cell>
          <cell r="I293">
            <v>46186</v>
          </cell>
          <cell r="J293" t="str">
            <v>2026年秋冬A类报告号：260661531</v>
          </cell>
        </row>
        <row r="294">
          <cell r="H294" t="str">
            <v>JJN63882A</v>
          </cell>
          <cell r="I294">
            <v>46186</v>
          </cell>
          <cell r="J294" t="str">
            <v>2026年秋冬A类报告号：260661531</v>
          </cell>
        </row>
        <row r="295">
          <cell r="H295" t="str">
            <v>JTG63883</v>
          </cell>
          <cell r="I295">
            <v>46186</v>
          </cell>
          <cell r="J295" t="str">
            <v>2026年秋冬A类报告号：260661531</v>
          </cell>
        </row>
        <row r="296">
          <cell r="H296" t="str">
            <v>JTG63884</v>
          </cell>
          <cell r="I296">
            <v>46186</v>
          </cell>
          <cell r="J296" t="str">
            <v>2026年秋冬A类报告号：260661531</v>
          </cell>
        </row>
        <row r="297">
          <cell r="H297" t="str">
            <v>JJG63885</v>
          </cell>
          <cell r="I297">
            <v>46186</v>
          </cell>
          <cell r="J297" t="str">
            <v>2026年秋冬A类报告号：260661531</v>
          </cell>
        </row>
        <row r="298">
          <cell r="H298" t="str">
            <v>JXG63886</v>
          </cell>
          <cell r="I298">
            <v>46186</v>
          </cell>
          <cell r="J298" t="str">
            <v>2026年秋冬A类报告号：260661531</v>
          </cell>
        </row>
        <row r="299">
          <cell r="H299" t="str">
            <v>JKG63887</v>
          </cell>
          <cell r="I299">
            <v>46186</v>
          </cell>
          <cell r="J299" t="str">
            <v>2026年秋冬A类报告号：260661531</v>
          </cell>
        </row>
        <row r="300">
          <cell r="H300" t="str">
            <v>JHG63888</v>
          </cell>
          <cell r="I300">
            <v>46186</v>
          </cell>
          <cell r="J300" t="str">
            <v>2026年秋冬A类报告号：260661531</v>
          </cell>
        </row>
        <row r="301">
          <cell r="H301" t="str">
            <v>JHG63889</v>
          </cell>
          <cell r="I301">
            <v>46186</v>
          </cell>
          <cell r="J301" t="str">
            <v>2026年秋冬A类报告号：260661531</v>
          </cell>
        </row>
        <row r="302">
          <cell r="H302" t="str">
            <v>JKG63890</v>
          </cell>
          <cell r="I302">
            <v>46186</v>
          </cell>
          <cell r="J302" t="str">
            <v>2026年秋冬A类报告号：260661531</v>
          </cell>
        </row>
        <row r="303">
          <cell r="H303" t="str">
            <v>JTG63891</v>
          </cell>
          <cell r="I303">
            <v>46186</v>
          </cell>
          <cell r="J303" t="str">
            <v>2026年秋冬A类报告号：260661531</v>
          </cell>
        </row>
        <row r="304">
          <cell r="H304" t="str">
            <v>JJG63893</v>
          </cell>
          <cell r="I304">
            <v>46186</v>
          </cell>
          <cell r="J304" t="str">
            <v>2026年秋冬A类报告号：260661531</v>
          </cell>
        </row>
        <row r="305">
          <cell r="H305" t="str">
            <v>JJG63894</v>
          </cell>
          <cell r="I305">
            <v>46186</v>
          </cell>
          <cell r="J305" t="str">
            <v>2026年秋冬A类报告号：260661531</v>
          </cell>
        </row>
        <row r="306">
          <cell r="H306" t="str">
            <v>JAG64831</v>
          </cell>
          <cell r="I306">
            <v>46186</v>
          </cell>
          <cell r="J306" t="str">
            <v>2026年秋冬A类报告号：260661531</v>
          </cell>
        </row>
        <row r="307">
          <cell r="H307" t="str">
            <v>JLG63695</v>
          </cell>
          <cell r="I307">
            <v>46186</v>
          </cell>
          <cell r="J307" t="str">
            <v>2026年秋冬A类报告号：260661531</v>
          </cell>
        </row>
        <row r="308">
          <cell r="H308" t="str">
            <v>JLG63696</v>
          </cell>
          <cell r="I308">
            <v>46186</v>
          </cell>
          <cell r="J308" t="str">
            <v>2026年秋冬A类报告号：260661531</v>
          </cell>
        </row>
        <row r="309">
          <cell r="H309" t="str">
            <v>JLG63697</v>
          </cell>
          <cell r="I309">
            <v>46186</v>
          </cell>
          <cell r="J309" t="str">
            <v>2026年秋冬A类报告号：260661531</v>
          </cell>
        </row>
        <row r="310">
          <cell r="H310" t="str">
            <v>JLG63698</v>
          </cell>
          <cell r="I310">
            <v>46186</v>
          </cell>
          <cell r="J310" t="str">
            <v>2026年秋冬A类报告号：260661531</v>
          </cell>
        </row>
        <row r="311">
          <cell r="H311" t="str">
            <v>JLB63699</v>
          </cell>
          <cell r="I311">
            <v>46186</v>
          </cell>
          <cell r="J311" t="str">
            <v>2026年秋冬A类报告号：260661531</v>
          </cell>
        </row>
        <row r="312">
          <cell r="H312" t="str">
            <v>JKG63351</v>
          </cell>
          <cell r="I312">
            <v>46186</v>
          </cell>
          <cell r="J312" t="str">
            <v>2026年秋冬A类报告号：260661531</v>
          </cell>
        </row>
        <row r="313">
          <cell r="H313" t="str">
            <v>JKB63352</v>
          </cell>
          <cell r="I313">
            <v>46186</v>
          </cell>
          <cell r="J313" t="str">
            <v>2026年秋冬A类报告号：260661531</v>
          </cell>
        </row>
        <row r="314">
          <cell r="H314" t="str">
            <v>JXG63353</v>
          </cell>
          <cell r="I314">
            <v>46186</v>
          </cell>
          <cell r="J314" t="str">
            <v>2026年秋冬A类报告号：260661531</v>
          </cell>
        </row>
        <row r="315">
          <cell r="H315" t="str">
            <v>JXG63354</v>
          </cell>
          <cell r="I315">
            <v>46186</v>
          </cell>
          <cell r="J315" t="str">
            <v>2026年秋冬A类报告号：260661531</v>
          </cell>
        </row>
        <row r="316">
          <cell r="H316" t="str">
            <v>JTB63356</v>
          </cell>
          <cell r="I316">
            <v>46186</v>
          </cell>
          <cell r="J316" t="str">
            <v>2026年秋冬A类报告号：260661531</v>
          </cell>
        </row>
        <row r="317">
          <cell r="H317" t="str">
            <v>JTB63357</v>
          </cell>
          <cell r="I317">
            <v>46186</v>
          </cell>
          <cell r="J317" t="str">
            <v>2026年秋冬A类报告号：260661531</v>
          </cell>
        </row>
        <row r="318">
          <cell r="H318" t="str">
            <v>JJB63358</v>
          </cell>
          <cell r="I318">
            <v>46186</v>
          </cell>
          <cell r="J318" t="str">
            <v>2026年秋冬A类报告号：260661531</v>
          </cell>
        </row>
        <row r="319">
          <cell r="H319" t="str">
            <v>JXG63066</v>
          </cell>
          <cell r="I319">
            <v>46186</v>
          </cell>
          <cell r="J319" t="str">
            <v>2026年秋冬A类报告号：260661531</v>
          </cell>
        </row>
        <row r="320">
          <cell r="H320" t="str">
            <v>JRG63067</v>
          </cell>
          <cell r="I320">
            <v>46186</v>
          </cell>
          <cell r="J320" t="str">
            <v>2026年秋冬A类报告号：260661531</v>
          </cell>
        </row>
        <row r="321">
          <cell r="H321" t="str">
            <v>JLG63068</v>
          </cell>
          <cell r="I321">
            <v>46186</v>
          </cell>
          <cell r="J321" t="str">
            <v>2026年秋冬A类报告号：260661531</v>
          </cell>
        </row>
        <row r="322">
          <cell r="H322" t="str">
            <v>JDG63069</v>
          </cell>
          <cell r="I322">
            <v>46186</v>
          </cell>
          <cell r="J322" t="str">
            <v>2026年秋冬A类报告号：260661531</v>
          </cell>
        </row>
        <row r="323">
          <cell r="H323" t="str">
            <v>JJB63070</v>
          </cell>
          <cell r="I323">
            <v>46186</v>
          </cell>
          <cell r="J323" t="str">
            <v>2026年秋冬A类报告号：260661531</v>
          </cell>
        </row>
        <row r="324">
          <cell r="H324" t="str">
            <v>JJB63071</v>
          </cell>
          <cell r="I324">
            <v>46186</v>
          </cell>
          <cell r="J324" t="str">
            <v>2026年秋冬A类报告号：260661531</v>
          </cell>
        </row>
        <row r="325">
          <cell r="H325" t="str">
            <v>JXB63072</v>
          </cell>
          <cell r="I325">
            <v>46186</v>
          </cell>
          <cell r="J325" t="str">
            <v>2026年秋冬A类报告号：260661531</v>
          </cell>
        </row>
        <row r="326">
          <cell r="H326" t="str">
            <v>JQG63073</v>
          </cell>
          <cell r="I326">
            <v>46186</v>
          </cell>
          <cell r="J326" t="str">
            <v>2026年秋冬A类报告号：260661531</v>
          </cell>
        </row>
        <row r="327">
          <cell r="H327" t="str">
            <v>JQG63074</v>
          </cell>
          <cell r="I327">
            <v>46186</v>
          </cell>
          <cell r="J327" t="str">
            <v>2026年秋冬A类报告号：260661531</v>
          </cell>
        </row>
        <row r="328">
          <cell r="H328" t="str">
            <v>JXG63079</v>
          </cell>
          <cell r="I328">
            <v>46186</v>
          </cell>
          <cell r="J328" t="str">
            <v>2026年秋冬A类报告号：260661531</v>
          </cell>
        </row>
        <row r="329">
          <cell r="H329" t="str">
            <v>JKG63080</v>
          </cell>
          <cell r="I329">
            <v>46186</v>
          </cell>
          <cell r="J329" t="str">
            <v>2026年秋冬A类报告号：260661531</v>
          </cell>
        </row>
        <row r="330">
          <cell r="H330" t="str">
            <v>JXN63081</v>
          </cell>
          <cell r="I330">
            <v>46186</v>
          </cell>
          <cell r="J330" t="str">
            <v>2026年秋冬A类报告号：260661531</v>
          </cell>
        </row>
        <row r="331">
          <cell r="H331" t="str">
            <v>JXG63474</v>
          </cell>
          <cell r="I331">
            <v>46186</v>
          </cell>
          <cell r="J331" t="str">
            <v>2026年秋冬A类报告号：260661531</v>
          </cell>
        </row>
        <row r="332">
          <cell r="H332" t="str">
            <v>JKG63477</v>
          </cell>
          <cell r="I332">
            <v>46186</v>
          </cell>
          <cell r="J332" t="str">
            <v>2026年秋冬A类报告号：260661531</v>
          </cell>
        </row>
        <row r="333">
          <cell r="H333" t="str">
            <v>JKG63478</v>
          </cell>
          <cell r="I333">
            <v>46186</v>
          </cell>
          <cell r="J333" t="str">
            <v>2026年秋冬A类报告号：260661531</v>
          </cell>
        </row>
        <row r="334">
          <cell r="H334" t="str">
            <v>JKN63479</v>
          </cell>
          <cell r="I334">
            <v>46186</v>
          </cell>
          <cell r="J334" t="str">
            <v>2026年秋冬A类报告号：260661531</v>
          </cell>
        </row>
        <row r="335">
          <cell r="H335" t="str">
            <v>JTG63483</v>
          </cell>
          <cell r="I335">
            <v>46186</v>
          </cell>
          <cell r="J335" t="str">
            <v>2026年秋冬A类报告号：260661531</v>
          </cell>
        </row>
        <row r="336">
          <cell r="H336" t="str">
            <v>JTG63482</v>
          </cell>
          <cell r="I336">
            <v>46186</v>
          </cell>
          <cell r="J336" t="str">
            <v>2026年秋冬A类报告号：260661531</v>
          </cell>
        </row>
        <row r="337">
          <cell r="H337" t="str">
            <v>JTG63481</v>
          </cell>
          <cell r="I337">
            <v>46186</v>
          </cell>
          <cell r="J337" t="str">
            <v>2026年秋冬A类报告号：260661531</v>
          </cell>
        </row>
        <row r="338">
          <cell r="H338" t="str">
            <v>JTB63480</v>
          </cell>
          <cell r="I338">
            <v>46186</v>
          </cell>
          <cell r="J338" t="str">
            <v>2026年秋冬A类报告号：260661531</v>
          </cell>
        </row>
        <row r="339">
          <cell r="H339" t="str">
            <v>JXG63485</v>
          </cell>
          <cell r="I339">
            <v>46186</v>
          </cell>
          <cell r="J339" t="str">
            <v>2026年秋冬A类报告号：260661531</v>
          </cell>
        </row>
        <row r="340">
          <cell r="H340" t="str">
            <v>JKN63484</v>
          </cell>
          <cell r="I340">
            <v>46186</v>
          </cell>
          <cell r="J340" t="str">
            <v>2026年秋冬A类报告号：260661531</v>
          </cell>
        </row>
        <row r="341">
          <cell r="H341" t="str">
            <v>JTG63486</v>
          </cell>
          <cell r="I341">
            <v>46186</v>
          </cell>
          <cell r="J341" t="str">
            <v>2026年秋冬A类报告号：260661531</v>
          </cell>
        </row>
        <row r="342">
          <cell r="H342" t="str">
            <v>JTN63488</v>
          </cell>
          <cell r="I342">
            <v>46186</v>
          </cell>
          <cell r="J342" t="str">
            <v>2026年秋冬A类报告号：260661531</v>
          </cell>
        </row>
        <row r="343">
          <cell r="H343" t="str">
            <v>JHN63491</v>
          </cell>
          <cell r="I343">
            <v>46186</v>
          </cell>
          <cell r="J343" t="str">
            <v>2026年秋冬A类报告号：260661531</v>
          </cell>
        </row>
        <row r="344">
          <cell r="H344" t="str">
            <v>JXG63499</v>
          </cell>
          <cell r="I344">
            <v>46186</v>
          </cell>
          <cell r="J344" t="str">
            <v>2026年秋冬A类报告号：260661531</v>
          </cell>
        </row>
        <row r="345">
          <cell r="H345" t="str">
            <v>JXB63498</v>
          </cell>
          <cell r="I345">
            <v>46186</v>
          </cell>
          <cell r="J345" t="str">
            <v>2026年秋冬A类报告号：260661531</v>
          </cell>
        </row>
        <row r="346">
          <cell r="H346" t="str">
            <v>JRG63497</v>
          </cell>
          <cell r="I346">
            <v>46186</v>
          </cell>
          <cell r="J346" t="str">
            <v>2026年秋冬A类报告号：260661531</v>
          </cell>
        </row>
        <row r="347">
          <cell r="H347" t="str">
            <v>JRB63496</v>
          </cell>
          <cell r="I347">
            <v>46186</v>
          </cell>
          <cell r="J347" t="str">
            <v>2026年秋冬A类报告号：260661531</v>
          </cell>
        </row>
        <row r="348">
          <cell r="H348" t="str">
            <v>JRB63495</v>
          </cell>
          <cell r="I348">
            <v>46186</v>
          </cell>
          <cell r="J348" t="str">
            <v>2026年秋冬A类报告号：260661531</v>
          </cell>
        </row>
        <row r="349">
          <cell r="H349" t="str">
            <v>JKN63494</v>
          </cell>
          <cell r="I349">
            <v>46186</v>
          </cell>
          <cell r="J349" t="str">
            <v>2026年秋冬A类报告号：260661531</v>
          </cell>
        </row>
        <row r="350">
          <cell r="H350" t="str">
            <v>JDG63493</v>
          </cell>
          <cell r="I350">
            <v>46186</v>
          </cell>
          <cell r="J350" t="str">
            <v>2026年秋冬A类报告号：260661531</v>
          </cell>
        </row>
        <row r="351">
          <cell r="H351" t="str">
            <v>JDG63492</v>
          </cell>
          <cell r="I351">
            <v>46186</v>
          </cell>
          <cell r="J351" t="str">
            <v>2026年秋冬A类报告号：260661531</v>
          </cell>
        </row>
        <row r="352">
          <cell r="H352" t="str">
            <v>JTB65509</v>
          </cell>
          <cell r="I352">
            <v>46186</v>
          </cell>
          <cell r="J352" t="str">
            <v>2026年秋冬A类报告号：260661531</v>
          </cell>
        </row>
        <row r="353">
          <cell r="H353" t="str">
            <v>JTG63402</v>
          </cell>
          <cell r="I353">
            <v>46186</v>
          </cell>
          <cell r="J353" t="str">
            <v>2026年秋冬A类报告号：260661531</v>
          </cell>
        </row>
        <row r="354">
          <cell r="H354" t="str">
            <v>JTG63403</v>
          </cell>
          <cell r="I354">
            <v>46186</v>
          </cell>
          <cell r="J354" t="str">
            <v>2026年秋冬A类报告号：260661531</v>
          </cell>
        </row>
        <row r="355">
          <cell r="H355" t="str">
            <v>JTG63404</v>
          </cell>
          <cell r="I355">
            <v>46186</v>
          </cell>
          <cell r="J355" t="str">
            <v>2026年秋冬A类报告号：260661531</v>
          </cell>
        </row>
        <row r="356">
          <cell r="H356" t="str">
            <v>JXB63360</v>
          </cell>
          <cell r="I356">
            <v>46186</v>
          </cell>
          <cell r="J356" t="str">
            <v>2026年秋冬A类报告号：260661531</v>
          </cell>
        </row>
        <row r="357">
          <cell r="H357" t="str">
            <v>JJG63362</v>
          </cell>
          <cell r="I357">
            <v>46186</v>
          </cell>
          <cell r="J357" t="str">
            <v>2026年秋冬A类报告号：260661531</v>
          </cell>
        </row>
        <row r="358">
          <cell r="H358" t="str">
            <v>JJG63363</v>
          </cell>
          <cell r="I358">
            <v>46186</v>
          </cell>
          <cell r="J358" t="str">
            <v>2026年秋冬A类报告号：260661531</v>
          </cell>
        </row>
        <row r="359">
          <cell r="H359" t="str">
            <v>JJN63364</v>
          </cell>
          <cell r="I359">
            <v>46186</v>
          </cell>
          <cell r="J359" t="str">
            <v>2026年秋冬A类报告号：260661531</v>
          </cell>
        </row>
        <row r="360">
          <cell r="H360" t="str">
            <v>JQG63365</v>
          </cell>
          <cell r="I360">
            <v>46186</v>
          </cell>
          <cell r="J360" t="str">
            <v>2026年秋冬A类报告号：260661531</v>
          </cell>
        </row>
        <row r="361">
          <cell r="H361" t="str">
            <v>JQG63366</v>
          </cell>
          <cell r="I361">
            <v>46186</v>
          </cell>
          <cell r="J361" t="str">
            <v>2026年秋冬A类报告号：260661531</v>
          </cell>
        </row>
        <row r="362">
          <cell r="H362" t="str">
            <v>JTG63367</v>
          </cell>
          <cell r="I362">
            <v>46186</v>
          </cell>
          <cell r="J362" t="str">
            <v>2026年秋冬A类报告号：260661531</v>
          </cell>
        </row>
        <row r="363">
          <cell r="H363" t="str">
            <v>JTB63369</v>
          </cell>
          <cell r="I363">
            <v>46186</v>
          </cell>
          <cell r="J363" t="str">
            <v>2026年秋冬A类报告号：260661531</v>
          </cell>
        </row>
        <row r="364">
          <cell r="H364" t="str">
            <v>JKG63371</v>
          </cell>
          <cell r="I364">
            <v>46186</v>
          </cell>
          <cell r="J364" t="str">
            <v>2026年秋冬A类报告号：260661531</v>
          </cell>
        </row>
        <row r="365">
          <cell r="H365" t="str">
            <v>JKB63372</v>
          </cell>
          <cell r="I365">
            <v>46186</v>
          </cell>
          <cell r="J365" t="str">
            <v>2026年秋冬A类报告号：260661531</v>
          </cell>
        </row>
        <row r="366">
          <cell r="H366" t="str">
            <v>JLB63373</v>
          </cell>
          <cell r="I366">
            <v>46186</v>
          </cell>
          <cell r="J366" t="str">
            <v>2026年秋冬A类报告号：260661531</v>
          </cell>
        </row>
        <row r="367">
          <cell r="H367" t="str">
            <v>JJG65603</v>
          </cell>
          <cell r="I367">
            <v>46186</v>
          </cell>
          <cell r="J367" t="str">
            <v>2026年秋冬A类报告号：260661531</v>
          </cell>
        </row>
        <row r="368">
          <cell r="H368" t="str">
            <v>JAG64603</v>
          </cell>
          <cell r="I368">
            <v>46186</v>
          </cell>
          <cell r="J368" t="str">
            <v>2026年秋冬A类报告号：260661531</v>
          </cell>
        </row>
        <row r="369">
          <cell r="H369" t="str">
            <v>JAG64604</v>
          </cell>
          <cell r="I369">
            <v>46186</v>
          </cell>
          <cell r="J369" t="str">
            <v>2026年秋冬A类报告号：260661531</v>
          </cell>
        </row>
        <row r="370">
          <cell r="H370" t="str">
            <v>JHG63082</v>
          </cell>
          <cell r="I370">
            <v>46186</v>
          </cell>
          <cell r="J370" t="str">
            <v>2026年秋冬A类报告号：260661531</v>
          </cell>
        </row>
        <row r="371">
          <cell r="H371" t="str">
            <v>JKG63083</v>
          </cell>
          <cell r="I371">
            <v>46186</v>
          </cell>
          <cell r="J371" t="str">
            <v>2026年秋冬A类报告号：260661531</v>
          </cell>
        </row>
        <row r="372">
          <cell r="H372" t="str">
            <v>JQG63086</v>
          </cell>
          <cell r="I372">
            <v>46186</v>
          </cell>
          <cell r="J372" t="str">
            <v>2026年秋冬A类报告号：260661531</v>
          </cell>
        </row>
        <row r="373">
          <cell r="H373" t="str">
            <v>JLG63088</v>
          </cell>
          <cell r="I373">
            <v>46186</v>
          </cell>
          <cell r="J373" t="str">
            <v>2026年秋冬A类报告号：260661531</v>
          </cell>
        </row>
        <row r="374">
          <cell r="H374" t="str">
            <v>JMG63089</v>
          </cell>
          <cell r="I374">
            <v>46186</v>
          </cell>
          <cell r="J374" t="str">
            <v>2026年秋冬A类报告号：260661531</v>
          </cell>
        </row>
        <row r="375">
          <cell r="H375" t="str">
            <v>JQG63091</v>
          </cell>
          <cell r="I375">
            <v>46186</v>
          </cell>
          <cell r="J375" t="str">
            <v>2026年秋冬A类报告号：260661531</v>
          </cell>
        </row>
        <row r="376">
          <cell r="H376" t="str">
            <v>JQG63092</v>
          </cell>
          <cell r="I376">
            <v>46186</v>
          </cell>
          <cell r="J376" t="str">
            <v>2026年秋冬A类报告号：260661531</v>
          </cell>
        </row>
        <row r="377">
          <cell r="H377" t="str">
            <v>JCG63093</v>
          </cell>
          <cell r="I377">
            <v>46186</v>
          </cell>
          <cell r="J377" t="str">
            <v>2026年秋冬A类报告号：260661531</v>
          </cell>
        </row>
        <row r="378">
          <cell r="H378" t="str">
            <v>JKG63095</v>
          </cell>
          <cell r="I378">
            <v>46186</v>
          </cell>
          <cell r="J378" t="str">
            <v>2026年秋冬A类报告号：260661531</v>
          </cell>
        </row>
        <row r="379">
          <cell r="H379" t="str">
            <v>JXG63097</v>
          </cell>
          <cell r="I379">
            <v>46186</v>
          </cell>
          <cell r="J379" t="str">
            <v>2026年秋冬A类报告号：260661531</v>
          </cell>
        </row>
        <row r="380">
          <cell r="H380" t="str">
            <v>JXG63896</v>
          </cell>
          <cell r="I380">
            <v>46186</v>
          </cell>
          <cell r="J380" t="str">
            <v>2026年秋冬A类报告号：260661531</v>
          </cell>
        </row>
        <row r="381">
          <cell r="H381" t="str">
            <v>JQG63897</v>
          </cell>
          <cell r="I381">
            <v>46186</v>
          </cell>
          <cell r="J381" t="str">
            <v>2026年秋冬A类报告号：260661531</v>
          </cell>
        </row>
        <row r="382">
          <cell r="H382" t="str">
            <v>JJG63898</v>
          </cell>
          <cell r="I382">
            <v>46186</v>
          </cell>
          <cell r="J382" t="str">
            <v>2026年秋冬A类报告号：260661531</v>
          </cell>
        </row>
        <row r="383">
          <cell r="H383" t="str">
            <v>JQG63900</v>
          </cell>
          <cell r="I383">
            <v>46186</v>
          </cell>
          <cell r="J383" t="str">
            <v>2026年秋冬A类报告号：260661531</v>
          </cell>
        </row>
        <row r="384">
          <cell r="H384" t="str">
            <v>JJN65812</v>
          </cell>
          <cell r="I384">
            <v>46186</v>
          </cell>
          <cell r="J384" t="str">
            <v>2026年秋冬A类报告号：260661531</v>
          </cell>
        </row>
        <row r="385">
          <cell r="H385" t="str">
            <v>JJN65813A</v>
          </cell>
          <cell r="I385">
            <v>46186</v>
          </cell>
          <cell r="J385" t="str">
            <v>2026年秋冬A类报告号：260661531</v>
          </cell>
        </row>
        <row r="386">
          <cell r="H386" t="str">
            <v>JJN65814</v>
          </cell>
          <cell r="I386">
            <v>46186</v>
          </cell>
          <cell r="J386" t="str">
            <v>2026年秋冬A类报告号：260661531</v>
          </cell>
        </row>
        <row r="387">
          <cell r="H387" t="str">
            <v>JJN65815</v>
          </cell>
          <cell r="I387">
            <v>46186</v>
          </cell>
          <cell r="J387" t="str">
            <v>2026年秋冬A类报告号：260661531</v>
          </cell>
        </row>
        <row r="388">
          <cell r="H388" t="str">
            <v>JHB64832</v>
          </cell>
          <cell r="I388">
            <v>46186</v>
          </cell>
          <cell r="J388" t="str">
            <v>2026年秋冬A类报告号：260661531</v>
          </cell>
        </row>
        <row r="389">
          <cell r="H389" t="str">
            <v>JGG63376</v>
          </cell>
          <cell r="I389">
            <v>46186</v>
          </cell>
          <cell r="J389" t="str">
            <v>2026年秋冬A类报告号：260661531</v>
          </cell>
        </row>
        <row r="390">
          <cell r="H390" t="str">
            <v>JGG63377</v>
          </cell>
          <cell r="I390">
            <v>46186</v>
          </cell>
          <cell r="J390" t="str">
            <v>2026年秋冬A类报告号：260661531</v>
          </cell>
        </row>
        <row r="391">
          <cell r="H391" t="str">
            <v>JCG63378</v>
          </cell>
          <cell r="I391">
            <v>46186</v>
          </cell>
          <cell r="J391" t="str">
            <v>2026年秋冬A类报告号：260661531</v>
          </cell>
        </row>
        <row r="392">
          <cell r="H392" t="str">
            <v>JLG63379</v>
          </cell>
          <cell r="I392">
            <v>46186</v>
          </cell>
          <cell r="J392" t="str">
            <v>2026年秋冬A类报告号：260661531</v>
          </cell>
        </row>
        <row r="393">
          <cell r="H393" t="str">
            <v>JLG63380</v>
          </cell>
          <cell r="I393">
            <v>46186</v>
          </cell>
          <cell r="J393" t="str">
            <v>2026年秋冬A类报告号：260661531</v>
          </cell>
        </row>
        <row r="394">
          <cell r="H394" t="str">
            <v>JQG63382</v>
          </cell>
          <cell r="I394">
            <v>46186</v>
          </cell>
          <cell r="J394" t="str">
            <v>2026年秋冬A类报告号：260661531</v>
          </cell>
        </row>
        <row r="395">
          <cell r="H395" t="str">
            <v>JDG63383</v>
          </cell>
          <cell r="I395">
            <v>46186</v>
          </cell>
          <cell r="J395" t="str">
            <v>2026年秋冬A类报告号：260661531</v>
          </cell>
        </row>
        <row r="396">
          <cell r="H396" t="str">
            <v>JDG63384</v>
          </cell>
          <cell r="I396">
            <v>46186</v>
          </cell>
          <cell r="J396" t="str">
            <v>2026年秋冬A类报告号：260661531</v>
          </cell>
        </row>
        <row r="397">
          <cell r="H397" t="str">
            <v>JDG63385</v>
          </cell>
          <cell r="I397">
            <v>46186</v>
          </cell>
          <cell r="J397" t="str">
            <v>2026年秋冬A类报告号：260661531</v>
          </cell>
        </row>
        <row r="398">
          <cell r="H398" t="str">
            <v>JKB63386</v>
          </cell>
          <cell r="I398">
            <v>46186</v>
          </cell>
          <cell r="J398" t="str">
            <v>2026年秋冬A类报告号：260661531</v>
          </cell>
        </row>
        <row r="399">
          <cell r="H399" t="str">
            <v>JQG63405</v>
          </cell>
          <cell r="I399">
            <v>46186</v>
          </cell>
          <cell r="J399" t="str">
            <v>2026年秋冬A类报告号：260661531</v>
          </cell>
        </row>
        <row r="400">
          <cell r="H400" t="str">
            <v>JHB63407</v>
          </cell>
          <cell r="I400">
            <v>46186</v>
          </cell>
          <cell r="J400" t="str">
            <v>2026年秋冬A类报告号：260661531</v>
          </cell>
        </row>
        <row r="401">
          <cell r="H401" t="str">
            <v>JHB63408</v>
          </cell>
          <cell r="I401">
            <v>46186</v>
          </cell>
          <cell r="J401" t="str">
            <v>2026年秋冬A类报告号：260661531</v>
          </cell>
        </row>
        <row r="402">
          <cell r="H402" t="str">
            <v>JHB63409</v>
          </cell>
          <cell r="I402">
            <v>46186</v>
          </cell>
          <cell r="J402" t="str">
            <v>2026年秋冬A类报告号：260661531</v>
          </cell>
        </row>
        <row r="403">
          <cell r="H403" t="str">
            <v>JXB63410</v>
          </cell>
          <cell r="I403">
            <v>46186</v>
          </cell>
          <cell r="J403" t="str">
            <v>2026年秋冬A类报告号：260661531</v>
          </cell>
        </row>
        <row r="404">
          <cell r="H404" t="str">
            <v>JRB63411</v>
          </cell>
          <cell r="I404">
            <v>46186</v>
          </cell>
          <cell r="J404" t="str">
            <v>2026年秋冬A类报告号：260661531</v>
          </cell>
        </row>
        <row r="405">
          <cell r="H405" t="str">
            <v>JRB63412</v>
          </cell>
          <cell r="I405">
            <v>46186</v>
          </cell>
          <cell r="J405" t="str">
            <v>2026年秋冬A类报告号：260661531</v>
          </cell>
        </row>
        <row r="406">
          <cell r="H406" t="str">
            <v>JTN63419</v>
          </cell>
          <cell r="I406">
            <v>46186</v>
          </cell>
          <cell r="J406" t="str">
            <v>2026年秋冬A类报告号：260661531</v>
          </cell>
        </row>
        <row r="407">
          <cell r="H407" t="str">
            <v>JTN63418</v>
          </cell>
          <cell r="I407">
            <v>46186</v>
          </cell>
          <cell r="J407" t="str">
            <v>2026年秋冬A类报告号：260661531</v>
          </cell>
        </row>
        <row r="408">
          <cell r="H408" t="str">
            <v>JTB63417</v>
          </cell>
          <cell r="I408">
            <v>46186</v>
          </cell>
          <cell r="J408" t="str">
            <v>2026年秋冬A类报告号：260661531</v>
          </cell>
        </row>
        <row r="409">
          <cell r="H409" t="str">
            <v>JLG63416</v>
          </cell>
          <cell r="I409">
            <v>46186</v>
          </cell>
          <cell r="J409" t="str">
            <v>2026年秋冬A类报告号：260661531</v>
          </cell>
        </row>
        <row r="410">
          <cell r="H410" t="str">
            <v>JKG63415</v>
          </cell>
          <cell r="I410">
            <v>46186</v>
          </cell>
          <cell r="J410" t="str">
            <v>2026年秋冬A类报告号：260661531</v>
          </cell>
        </row>
        <row r="411">
          <cell r="H411" t="str">
            <v>JKB63414</v>
          </cell>
          <cell r="I411">
            <v>46186</v>
          </cell>
          <cell r="J411" t="str">
            <v>2026年秋冬A类报告号：260661531</v>
          </cell>
        </row>
        <row r="412">
          <cell r="H412" t="str">
            <v>JKB63101</v>
          </cell>
          <cell r="I412">
            <v>46186</v>
          </cell>
          <cell r="J412" t="str">
            <v>2026年秋冬A类报告号：260661531</v>
          </cell>
        </row>
        <row r="413">
          <cell r="H413" t="str">
            <v>JLB63102</v>
          </cell>
          <cell r="I413">
            <v>46186</v>
          </cell>
          <cell r="J413" t="str">
            <v>2026年秋冬A类报告号：260661531</v>
          </cell>
        </row>
        <row r="414">
          <cell r="H414" t="str">
            <v>JXG63103</v>
          </cell>
          <cell r="I414">
            <v>46186</v>
          </cell>
          <cell r="J414" t="str">
            <v>2026年秋冬A类报告号：260661531</v>
          </cell>
        </row>
        <row r="415">
          <cell r="H415" t="str">
            <v>JTG63104</v>
          </cell>
          <cell r="I415">
            <v>46186</v>
          </cell>
          <cell r="J415" t="str">
            <v>2026年秋冬A类报告号：260661531</v>
          </cell>
        </row>
        <row r="416">
          <cell r="H416" t="str">
            <v>JTB63108</v>
          </cell>
          <cell r="I416">
            <v>46186</v>
          </cell>
          <cell r="J416" t="str">
            <v>2026年秋冬A类报告号：260661531</v>
          </cell>
        </row>
        <row r="417">
          <cell r="H417" t="str">
            <v>JXB63109</v>
          </cell>
          <cell r="I417">
            <v>46186</v>
          </cell>
          <cell r="J417" t="str">
            <v>2026年秋冬A类报告号：260661531</v>
          </cell>
        </row>
        <row r="418">
          <cell r="H418" t="str">
            <v>JDG63111</v>
          </cell>
          <cell r="I418">
            <v>46186</v>
          </cell>
          <cell r="J418" t="str">
            <v>2026年秋冬A类报告号：260661531</v>
          </cell>
        </row>
        <row r="419">
          <cell r="H419" t="str">
            <v>JAB64006</v>
          </cell>
          <cell r="I419">
            <v>46186</v>
          </cell>
          <cell r="J419" t="str">
            <v>2026年秋冬A类报告号：260661531</v>
          </cell>
        </row>
        <row r="420">
          <cell r="H420" t="str">
            <v>JQG63904</v>
          </cell>
          <cell r="I420">
            <v>46186</v>
          </cell>
          <cell r="J420" t="str">
            <v>2026年秋冬A类报告号：260661531</v>
          </cell>
        </row>
        <row r="421">
          <cell r="H421" t="str">
            <v>JQG63905</v>
          </cell>
          <cell r="I421">
            <v>46186</v>
          </cell>
          <cell r="J421" t="str">
            <v>2026年秋冬A类报告号：260661531</v>
          </cell>
        </row>
        <row r="422">
          <cell r="H422" t="str">
            <v>JQG63906</v>
          </cell>
          <cell r="I422">
            <v>46186</v>
          </cell>
          <cell r="J422" t="str">
            <v>2026年秋冬A类报告号：260661531</v>
          </cell>
        </row>
        <row r="423">
          <cell r="H423" t="str">
            <v>JRN63907</v>
          </cell>
          <cell r="I423">
            <v>46186</v>
          </cell>
          <cell r="J423" t="str">
            <v>2026年秋冬A类报告号：260661531</v>
          </cell>
        </row>
        <row r="424">
          <cell r="H424" t="str">
            <v>JTG63911</v>
          </cell>
          <cell r="I424">
            <v>46186</v>
          </cell>
          <cell r="J424" t="str">
            <v>2026年秋冬A类报告号：260661531</v>
          </cell>
        </row>
        <row r="425">
          <cell r="H425" t="str">
            <v>JXG63912</v>
          </cell>
          <cell r="I425">
            <v>46186</v>
          </cell>
          <cell r="J425" t="str">
            <v>2026年秋冬A类报告号：260661531</v>
          </cell>
        </row>
        <row r="426">
          <cell r="H426" t="str">
            <v>JTG63913</v>
          </cell>
          <cell r="I426">
            <v>46186</v>
          </cell>
          <cell r="J426" t="str">
            <v>2026年秋冬A类报告号：260661531</v>
          </cell>
        </row>
        <row r="427">
          <cell r="H427" t="str">
            <v>JAG64841</v>
          </cell>
          <cell r="I427">
            <v>46186</v>
          </cell>
          <cell r="J427" t="str">
            <v>2026年秋冬A类报告号：260661531</v>
          </cell>
        </row>
        <row r="428">
          <cell r="H428" t="str">
            <v>JQG63673</v>
          </cell>
          <cell r="I428">
            <v>46186</v>
          </cell>
          <cell r="J428" t="str">
            <v>2026年秋冬A类报告号：260661531</v>
          </cell>
        </row>
        <row r="429">
          <cell r="H429" t="str">
            <v>JJG63908</v>
          </cell>
          <cell r="I429">
            <v>46186</v>
          </cell>
          <cell r="J429" t="str">
            <v>2026年秋冬A类报告号：260661531</v>
          </cell>
        </row>
        <row r="430">
          <cell r="H430" t="str">
            <v>JXG63112</v>
          </cell>
          <cell r="I430">
            <v>46186</v>
          </cell>
          <cell r="J430" t="str">
            <v>2026年秋冬A类报告号：260661531</v>
          </cell>
        </row>
        <row r="431">
          <cell r="H431" t="str">
            <v>JXG63113</v>
          </cell>
          <cell r="I431">
            <v>46186</v>
          </cell>
          <cell r="J431" t="str">
            <v>2026年秋冬A类报告号：260661531</v>
          </cell>
        </row>
        <row r="432">
          <cell r="H432" t="str">
            <v>JRG63114</v>
          </cell>
          <cell r="I432">
            <v>46186</v>
          </cell>
          <cell r="J432" t="str">
            <v>2026年秋冬A类报告号：260661531</v>
          </cell>
        </row>
        <row r="433">
          <cell r="H433" t="str">
            <v>JRG63120</v>
          </cell>
          <cell r="I433">
            <v>46186</v>
          </cell>
          <cell r="J433" t="str">
            <v>2026年秋冬A类报告号：260661531</v>
          </cell>
        </row>
        <row r="434">
          <cell r="H434" t="str">
            <v>JHG63121</v>
          </cell>
          <cell r="I434">
            <v>46186</v>
          </cell>
          <cell r="J434" t="str">
            <v>2026年秋冬A类报告号：260661531</v>
          </cell>
        </row>
        <row r="435">
          <cell r="H435" t="str">
            <v>JJN65010</v>
          </cell>
          <cell r="I435">
            <v>46186</v>
          </cell>
          <cell r="J435" t="str">
            <v>2026年秋冬A类报告号：260661531</v>
          </cell>
        </row>
        <row r="436">
          <cell r="H436" t="str">
            <v>JTG65011</v>
          </cell>
          <cell r="I436">
            <v>46186</v>
          </cell>
          <cell r="J436" t="str">
            <v>2026年秋冬A类报告号：260661531</v>
          </cell>
        </row>
        <row r="437">
          <cell r="H437" t="str">
            <v>JCB63914</v>
          </cell>
          <cell r="I437">
            <v>46186</v>
          </cell>
          <cell r="J437" t="str">
            <v>2026年秋冬A类报告号：260661531</v>
          </cell>
        </row>
        <row r="438">
          <cell r="H438" t="str">
            <v>JQG63915</v>
          </cell>
          <cell r="I438">
            <v>46186</v>
          </cell>
          <cell r="J438" t="str">
            <v>2026年秋冬A类报告号：260661531</v>
          </cell>
        </row>
        <row r="439">
          <cell r="H439" t="str">
            <v>JQG63916</v>
          </cell>
          <cell r="I439">
            <v>46186</v>
          </cell>
          <cell r="J439" t="str">
            <v>2026年秋冬A类报告号：260661531</v>
          </cell>
        </row>
        <row r="440">
          <cell r="H440" t="str">
            <v>JTG63917</v>
          </cell>
          <cell r="I440">
            <v>46186</v>
          </cell>
          <cell r="J440" t="str">
            <v>2026年秋冬A类报告号：260661531</v>
          </cell>
        </row>
        <row r="441">
          <cell r="H441" t="str">
            <v>JQG63922</v>
          </cell>
          <cell r="I441">
            <v>46186</v>
          </cell>
          <cell r="J441" t="str">
            <v>2026年秋冬A类报告号：260661531</v>
          </cell>
        </row>
        <row r="442">
          <cell r="H442" t="str">
            <v>JHG64847</v>
          </cell>
          <cell r="I442">
            <v>46186</v>
          </cell>
          <cell r="J442" t="str">
            <v>2026年秋冬A类报告号：260661531</v>
          </cell>
        </row>
        <row r="443">
          <cell r="H443" t="str">
            <v>JRB63391</v>
          </cell>
          <cell r="I443">
            <v>46186</v>
          </cell>
          <cell r="J443" t="str">
            <v>2026年秋冬A类报告号：260661531</v>
          </cell>
        </row>
        <row r="444">
          <cell r="H444" t="str">
            <v>JXG63392</v>
          </cell>
          <cell r="I444">
            <v>46186</v>
          </cell>
          <cell r="J444" t="str">
            <v>2026年秋冬A类报告号：260661531</v>
          </cell>
        </row>
        <row r="445">
          <cell r="H445" t="str">
            <v>JXN63393</v>
          </cell>
          <cell r="I445">
            <v>46186</v>
          </cell>
          <cell r="J445" t="str">
            <v>2026年秋冬A类报告号：260661531</v>
          </cell>
        </row>
        <row r="446">
          <cell r="H446" t="str">
            <v>JTG63394</v>
          </cell>
          <cell r="I446">
            <v>46186</v>
          </cell>
          <cell r="J446" t="str">
            <v>2026年秋冬A类报告号：260661531</v>
          </cell>
        </row>
        <row r="447">
          <cell r="H447" t="str">
            <v>JTN63395</v>
          </cell>
          <cell r="I447">
            <v>46186</v>
          </cell>
          <cell r="J447" t="str">
            <v>2026年秋冬A类报告号：260661531</v>
          </cell>
        </row>
        <row r="448">
          <cell r="H448" t="str">
            <v>JKG63396</v>
          </cell>
          <cell r="I448">
            <v>46186</v>
          </cell>
          <cell r="J448" t="str">
            <v>2026年秋冬A类报告号：260661531</v>
          </cell>
        </row>
        <row r="449">
          <cell r="H449" t="str">
            <v>JKN63397</v>
          </cell>
          <cell r="I449">
            <v>46186</v>
          </cell>
          <cell r="J449" t="str">
            <v>2026年秋冬A类报告号：260661531</v>
          </cell>
        </row>
        <row r="450">
          <cell r="H450" t="str">
            <v>JJG63399</v>
          </cell>
          <cell r="I450">
            <v>46186</v>
          </cell>
          <cell r="J450" t="str">
            <v>2026年秋冬A类报告号：260661531</v>
          </cell>
        </row>
        <row r="451">
          <cell r="H451" t="str">
            <v>JGG63349</v>
          </cell>
          <cell r="I451">
            <v>46186</v>
          </cell>
          <cell r="J451" t="str">
            <v>2026年秋冬A类报告号：260661531</v>
          </cell>
        </row>
        <row r="452">
          <cell r="H452" t="str">
            <v>JMG63522</v>
          </cell>
          <cell r="I452">
            <v>46186</v>
          </cell>
          <cell r="J452" t="str">
            <v>2026年秋冬A类报告号：260661531</v>
          </cell>
        </row>
        <row r="453">
          <cell r="H453" t="str">
            <v>JHG63422</v>
          </cell>
          <cell r="I453">
            <v>46186</v>
          </cell>
          <cell r="J453" t="str">
            <v>2026年秋冬A类报告号：260661531</v>
          </cell>
        </row>
        <row r="454">
          <cell r="H454" t="str">
            <v>JXG63429</v>
          </cell>
          <cell r="I454">
            <v>46186</v>
          </cell>
          <cell r="J454" t="str">
            <v>2026年秋冬A类报告号：260661531</v>
          </cell>
        </row>
        <row r="455">
          <cell r="H455" t="str">
            <v>JRG63428</v>
          </cell>
          <cell r="I455">
            <v>46186</v>
          </cell>
          <cell r="J455" t="str">
            <v>2026年秋冬A类报告号：260661531</v>
          </cell>
        </row>
        <row r="456">
          <cell r="H456" t="str">
            <v>JRG63427</v>
          </cell>
          <cell r="I456">
            <v>46186</v>
          </cell>
          <cell r="J456" t="str">
            <v>2026年秋冬A类报告号：260661531</v>
          </cell>
        </row>
        <row r="457">
          <cell r="H457" t="str">
            <v>JRN63426</v>
          </cell>
          <cell r="I457">
            <v>46186</v>
          </cell>
          <cell r="J457" t="str">
            <v>2026年秋冬A类报告号：260661531</v>
          </cell>
        </row>
        <row r="458">
          <cell r="H458" t="str">
            <v>JRN63425</v>
          </cell>
          <cell r="I458">
            <v>46186</v>
          </cell>
          <cell r="J458" t="str">
            <v>2026年秋冬A类报告号：260661531</v>
          </cell>
        </row>
        <row r="459">
          <cell r="H459" t="str">
            <v>JKG65512</v>
          </cell>
          <cell r="I459">
            <v>46186</v>
          </cell>
          <cell r="J459" t="str">
            <v>2026年秋冬A类报告号：260661531</v>
          </cell>
        </row>
        <row r="460">
          <cell r="H460" t="str">
            <v>JTN63348</v>
          </cell>
          <cell r="I460">
            <v>46186</v>
          </cell>
          <cell r="J460" t="str">
            <v>2026年秋冬A类报告号：260661531</v>
          </cell>
        </row>
        <row r="461">
          <cell r="H461" t="str">
            <v>JJG63423</v>
          </cell>
          <cell r="I461">
            <v>46186</v>
          </cell>
          <cell r="J461" t="str">
            <v>2026年秋冬A类报告号：260661531</v>
          </cell>
        </row>
        <row r="462">
          <cell r="H462" t="str">
            <v>JMG63359</v>
          </cell>
          <cell r="I462">
            <v>46186</v>
          </cell>
          <cell r="J462" t="str">
            <v>2026年秋冬A类报告号：260661531</v>
          </cell>
        </row>
        <row r="463">
          <cell r="H463" t="str">
            <v>JMG63689</v>
          </cell>
          <cell r="I463">
            <v>46186</v>
          </cell>
          <cell r="J463" t="str">
            <v>2026年秋冬A类报告号：260661531</v>
          </cell>
        </row>
        <row r="464">
          <cell r="H464" t="str">
            <v>JYG64801</v>
          </cell>
          <cell r="I464">
            <v>46186</v>
          </cell>
          <cell r="J464" t="str">
            <v>2026年秋冬A类报告号：260661531</v>
          </cell>
        </row>
        <row r="465">
          <cell r="H465" t="str">
            <v>JYG64802</v>
          </cell>
          <cell r="I465">
            <v>46186</v>
          </cell>
          <cell r="J465" t="str">
            <v>2026年秋冬A类报告号：260661531</v>
          </cell>
        </row>
        <row r="466">
          <cell r="H466" t="str">
            <v>JYG64803</v>
          </cell>
          <cell r="I466">
            <v>46186</v>
          </cell>
          <cell r="J466" t="str">
            <v>2026年秋冬A类报告号：260661531</v>
          </cell>
        </row>
        <row r="467">
          <cell r="H467" t="str">
            <v>JYN64804</v>
          </cell>
          <cell r="I467">
            <v>46186</v>
          </cell>
          <cell r="J467" t="str">
            <v>2026年秋冬A类报告号：260661531</v>
          </cell>
        </row>
        <row r="468">
          <cell r="H468" t="str">
            <v>JYN64805</v>
          </cell>
          <cell r="I468">
            <v>46186</v>
          </cell>
          <cell r="J468" t="str">
            <v>2026年秋冬A类报告号：260661531</v>
          </cell>
        </row>
        <row r="469">
          <cell r="H469" t="str">
            <v>JYN64806</v>
          </cell>
          <cell r="I469">
            <v>46186</v>
          </cell>
          <cell r="J469" t="str">
            <v>2026年秋冬A类报告号：260661531</v>
          </cell>
        </row>
        <row r="470">
          <cell r="H470" t="str">
            <v>JYG64807</v>
          </cell>
          <cell r="I470">
            <v>46186</v>
          </cell>
          <cell r="J470" t="str">
            <v>2026年秋冬A类报告号：260661531</v>
          </cell>
        </row>
        <row r="471">
          <cell r="H471" t="str">
            <v>JYN64808</v>
          </cell>
          <cell r="I471">
            <v>46186</v>
          </cell>
          <cell r="J471" t="str">
            <v>2026年秋冬A类报告号：260661531</v>
          </cell>
        </row>
        <row r="472">
          <cell r="H472" t="str">
            <v>JYN64809</v>
          </cell>
          <cell r="I472">
            <v>46186</v>
          </cell>
          <cell r="J472" t="str">
            <v>2026年秋冬A类报告号：260661531</v>
          </cell>
        </row>
        <row r="473">
          <cell r="H473" t="str">
            <v>JYN64601</v>
          </cell>
          <cell r="I473">
            <v>46186</v>
          </cell>
          <cell r="J473" t="str">
            <v>2026年秋冬A类报告号：260661531</v>
          </cell>
        </row>
        <row r="474">
          <cell r="H474" t="str">
            <v>JYN64810</v>
          </cell>
          <cell r="I474">
            <v>46186</v>
          </cell>
          <cell r="J474" t="str">
            <v>2026年秋冬A类报告号：260661531</v>
          </cell>
        </row>
        <row r="475">
          <cell r="H475" t="str">
            <v>JYN64812</v>
          </cell>
          <cell r="I475">
            <v>46186</v>
          </cell>
          <cell r="J475" t="str">
            <v>2026年秋冬A类报告号：260661531</v>
          </cell>
        </row>
        <row r="476">
          <cell r="H476" t="str">
            <v>JAG64815</v>
          </cell>
          <cell r="I476">
            <v>46186</v>
          </cell>
          <cell r="J476" t="str">
            <v>2026年秋冬A类报告号：260661531</v>
          </cell>
        </row>
        <row r="477">
          <cell r="H477" t="str">
            <v>JAG64816</v>
          </cell>
          <cell r="I477">
            <v>46186</v>
          </cell>
          <cell r="J477" t="str">
            <v>2026年秋冬A类报告号：260661531</v>
          </cell>
        </row>
        <row r="478">
          <cell r="H478" t="str">
            <v>JYB64821</v>
          </cell>
          <cell r="I478">
            <v>46186</v>
          </cell>
          <cell r="J478" t="str">
            <v>2026年秋冬A类报告号：260661531</v>
          </cell>
        </row>
        <row r="479">
          <cell r="H479" t="str">
            <v>JYB64822</v>
          </cell>
          <cell r="I479">
            <v>46186</v>
          </cell>
          <cell r="J479" t="str">
            <v>2026年秋冬A类报告号：260661531</v>
          </cell>
        </row>
        <row r="480">
          <cell r="H480" t="str">
            <v>JYG64823</v>
          </cell>
          <cell r="I480">
            <v>46186</v>
          </cell>
          <cell r="J480" t="str">
            <v>2026年秋冬A类报告号：260661531</v>
          </cell>
        </row>
        <row r="481">
          <cell r="H481" t="str">
            <v>JYN64824</v>
          </cell>
          <cell r="I481">
            <v>46186</v>
          </cell>
          <cell r="J481" t="str">
            <v>2026年秋冬A类报告号：260661531</v>
          </cell>
        </row>
        <row r="482">
          <cell r="H482" t="str">
            <v>JYN64826</v>
          </cell>
          <cell r="I482">
            <v>46186</v>
          </cell>
          <cell r="J482" t="str">
            <v>2026年秋冬A类报告号：260661531</v>
          </cell>
        </row>
        <row r="483">
          <cell r="H483" t="str">
            <v>JYG64827</v>
          </cell>
          <cell r="I483">
            <v>46186</v>
          </cell>
          <cell r="J483" t="str">
            <v>2026年秋冬A类报告号：260661531</v>
          </cell>
        </row>
        <row r="484">
          <cell r="H484" t="str">
            <v>JYG64818</v>
          </cell>
          <cell r="I484">
            <v>46186</v>
          </cell>
          <cell r="J484" t="str">
            <v>2026年秋冬A类报告号：260661531</v>
          </cell>
        </row>
        <row r="485">
          <cell r="H485" t="str">
            <v>JYG64829</v>
          </cell>
          <cell r="I485">
            <v>46186</v>
          </cell>
          <cell r="J485" t="str">
            <v>2026年秋冬A类报告号：260661531</v>
          </cell>
        </row>
        <row r="486">
          <cell r="H486" t="str">
            <v>JYG64835</v>
          </cell>
          <cell r="I486">
            <v>46186</v>
          </cell>
          <cell r="J486" t="str">
            <v>2026年秋冬A类报告号：260661531</v>
          </cell>
        </row>
        <row r="487">
          <cell r="H487" t="str">
            <v>JYN64837</v>
          </cell>
          <cell r="I487">
            <v>46186</v>
          </cell>
          <cell r="J487" t="str">
            <v>2026年秋冬A类报告号：260661531</v>
          </cell>
        </row>
        <row r="488">
          <cell r="H488" t="str">
            <v>JYG64838</v>
          </cell>
          <cell r="I488">
            <v>46186</v>
          </cell>
          <cell r="J488" t="str">
            <v>2026年秋冬A类报告号：260661531</v>
          </cell>
        </row>
        <row r="489">
          <cell r="H489" t="str">
            <v>JYG64839</v>
          </cell>
          <cell r="I489">
            <v>46186</v>
          </cell>
          <cell r="J489" t="str">
            <v>2026年秋冬A类报告号：260661531</v>
          </cell>
        </row>
        <row r="490">
          <cell r="H490" t="str">
            <v>JYG64840</v>
          </cell>
          <cell r="I490">
            <v>46186</v>
          </cell>
          <cell r="J490" t="str">
            <v>2026年秋冬A类报告号：260661531</v>
          </cell>
        </row>
        <row r="491">
          <cell r="H491" t="str">
            <v>JAG64842</v>
          </cell>
          <cell r="I491">
            <v>46186</v>
          </cell>
          <cell r="J491" t="str">
            <v>2026年秋冬A类报告号：260661531</v>
          </cell>
        </row>
        <row r="492">
          <cell r="H492" t="str">
            <v>JYG64843</v>
          </cell>
          <cell r="I492">
            <v>46186</v>
          </cell>
          <cell r="J492" t="str">
            <v>2026年秋冬A类报告号：260661531</v>
          </cell>
        </row>
        <row r="493">
          <cell r="H493" t="str">
            <v>JLG63381</v>
          </cell>
          <cell r="I493">
            <v>46186</v>
          </cell>
          <cell r="J493" t="str">
            <v>2026年秋冬A类报告号：260661531</v>
          </cell>
        </row>
        <row r="494">
          <cell r="H494" t="str">
            <v>JYG64846</v>
          </cell>
          <cell r="I494">
            <v>46186</v>
          </cell>
          <cell r="J494" t="str">
            <v>2026年秋冬A类报告号：260661531</v>
          </cell>
        </row>
        <row r="495">
          <cell r="H495" t="str">
            <v>JYN64848</v>
          </cell>
          <cell r="I495">
            <v>46186</v>
          </cell>
          <cell r="J495" t="str">
            <v>2026年秋冬A类报告号：260661531</v>
          </cell>
        </row>
        <row r="496">
          <cell r="H496" t="str">
            <v>JYN64605</v>
          </cell>
          <cell r="I496">
            <v>46186</v>
          </cell>
          <cell r="J496" t="str">
            <v>2026年秋冬A类报告号：260661531</v>
          </cell>
        </row>
        <row r="497">
          <cell r="H497" t="str">
            <v>JJN65823</v>
          </cell>
          <cell r="I497">
            <v>46186</v>
          </cell>
          <cell r="J497" t="str">
            <v>2026年秋冬A类报告号：260661531</v>
          </cell>
        </row>
        <row r="498">
          <cell r="H498" t="str">
            <v>JJN65824A</v>
          </cell>
          <cell r="I498">
            <v>46186</v>
          </cell>
          <cell r="J498" t="str">
            <v>2026年秋冬A类报告号：260661531</v>
          </cell>
        </row>
        <row r="499">
          <cell r="H499" t="str">
            <v>JJN65821</v>
          </cell>
          <cell r="I499">
            <v>46186</v>
          </cell>
          <cell r="J499" t="str">
            <v>2026年秋冬A类报告号：260661531</v>
          </cell>
        </row>
        <row r="500">
          <cell r="H500" t="str">
            <v>JJN65822</v>
          </cell>
          <cell r="I500">
            <v>46186</v>
          </cell>
          <cell r="J500" t="str">
            <v>2026年秋冬A类报告号：260661531</v>
          </cell>
        </row>
        <row r="501">
          <cell r="H501" t="str">
            <v>JJN63921</v>
          </cell>
          <cell r="I501">
            <v>46186</v>
          </cell>
          <cell r="J501" t="str">
            <v>2026年秋冬A类报告号：260661531</v>
          </cell>
        </row>
        <row r="502">
          <cell r="H502" t="str">
            <v>JJN65826</v>
          </cell>
          <cell r="I502">
            <v>46186</v>
          </cell>
          <cell r="J502" t="str">
            <v>2026年秋冬A类报告号：260661531</v>
          </cell>
        </row>
        <row r="503">
          <cell r="H503" t="str">
            <v>JJN65827</v>
          </cell>
          <cell r="I503">
            <v>46186</v>
          </cell>
          <cell r="J503" t="str">
            <v>2026年秋冬A类报告号：260661531</v>
          </cell>
        </row>
        <row r="504">
          <cell r="H504" t="str">
            <v>JHB64850</v>
          </cell>
          <cell r="I504">
            <v>46186</v>
          </cell>
          <cell r="J504" t="str">
            <v>2026年秋冬A类报告号：260661531</v>
          </cell>
        </row>
        <row r="505">
          <cell r="H505" t="str">
            <v>JXG63347</v>
          </cell>
          <cell r="I505">
            <v>46186</v>
          </cell>
          <cell r="J505" t="str">
            <v>2026年秋冬A类报告号：260661531</v>
          </cell>
        </row>
        <row r="506">
          <cell r="H506" t="str">
            <v>JXG63346</v>
          </cell>
          <cell r="I506">
            <v>46186</v>
          </cell>
          <cell r="J506" t="str">
            <v>2026年秋冬A类报告号：260661531</v>
          </cell>
        </row>
        <row r="507">
          <cell r="H507" t="str">
            <v>JXN63345</v>
          </cell>
          <cell r="I507">
            <v>46186</v>
          </cell>
          <cell r="J507" t="str">
            <v>2026年秋冬A类报告号：260661531</v>
          </cell>
        </row>
        <row r="508">
          <cell r="H508" t="str">
            <v>JDG63344</v>
          </cell>
          <cell r="I508">
            <v>46186</v>
          </cell>
          <cell r="J508" t="str">
            <v>2026年秋冬A类报告号：260661531</v>
          </cell>
        </row>
        <row r="509">
          <cell r="H509" t="str">
            <v>JDG63343</v>
          </cell>
          <cell r="I509">
            <v>46186</v>
          </cell>
          <cell r="J509" t="str">
            <v>2026年秋冬A类报告号：260661531</v>
          </cell>
        </row>
        <row r="510">
          <cell r="H510" t="str">
            <v>JLG63342</v>
          </cell>
          <cell r="I510">
            <v>46186</v>
          </cell>
          <cell r="J510" t="str">
            <v>2026年秋冬A类报告号：260661531</v>
          </cell>
        </row>
        <row r="511">
          <cell r="H511" t="str">
            <v>JRB65604</v>
          </cell>
          <cell r="I511">
            <v>46186</v>
          </cell>
          <cell r="J511" t="str">
            <v>2026年秋冬A类报告号：260661531</v>
          </cell>
        </row>
        <row r="512">
          <cell r="H512" t="str">
            <v>JAN64510</v>
          </cell>
          <cell r="I512">
            <v>46186</v>
          </cell>
          <cell r="J512" t="str">
            <v>2026年秋冬A类报告号：260661531</v>
          </cell>
        </row>
        <row r="513">
          <cell r="H513" t="str">
            <v>JQG63430</v>
          </cell>
          <cell r="I513">
            <v>46186</v>
          </cell>
          <cell r="J513" t="str">
            <v>2026年秋冬A类报告号：260661531</v>
          </cell>
        </row>
        <row r="514">
          <cell r="H514" t="str">
            <v>JZG63431</v>
          </cell>
          <cell r="I514">
            <v>46186</v>
          </cell>
          <cell r="J514" t="str">
            <v>2026年秋冬A类报告号：260661531</v>
          </cell>
        </row>
        <row r="515">
          <cell r="H515" t="str">
            <v>JJN65516</v>
          </cell>
          <cell r="I515">
            <v>46186</v>
          </cell>
          <cell r="J515" t="str">
            <v>2026年秋冬A类报告号：260661531</v>
          </cell>
        </row>
        <row r="516">
          <cell r="H516" t="str">
            <v>JHG63432</v>
          </cell>
          <cell r="I516">
            <v>46186</v>
          </cell>
          <cell r="J516" t="str">
            <v>2026年秋冬A类报告号：260661531</v>
          </cell>
        </row>
        <row r="517">
          <cell r="H517" t="str">
            <v>JJB63433</v>
          </cell>
          <cell r="I517">
            <v>46186</v>
          </cell>
          <cell r="J517" t="str">
            <v>2026年秋冬A类报告号：260661531</v>
          </cell>
        </row>
        <row r="518">
          <cell r="H518" t="str">
            <v>JTG63435</v>
          </cell>
          <cell r="I518">
            <v>46186</v>
          </cell>
          <cell r="J518" t="str">
            <v>2026年秋冬A类报告号：260661531</v>
          </cell>
        </row>
        <row r="519">
          <cell r="H519" t="str">
            <v>JYN64007</v>
          </cell>
          <cell r="I519">
            <v>46186</v>
          </cell>
          <cell r="J519" t="str">
            <v>2026年秋冬A类报告号：260661531</v>
          </cell>
        </row>
        <row r="520">
          <cell r="H520" t="str">
            <v>JDG63122</v>
          </cell>
          <cell r="I520">
            <v>46186</v>
          </cell>
          <cell r="J520" t="str">
            <v>2026年秋冬A类报告号：260661531</v>
          </cell>
        </row>
        <row r="521">
          <cell r="H521" t="str">
            <v>JDG63123</v>
          </cell>
          <cell r="I521">
            <v>46186</v>
          </cell>
          <cell r="J521" t="str">
            <v>2026年秋冬A类报告号：260661531</v>
          </cell>
        </row>
        <row r="522">
          <cell r="H522" t="str">
            <v>JKG63124</v>
          </cell>
          <cell r="I522">
            <v>46186</v>
          </cell>
          <cell r="J522" t="str">
            <v>2026年秋冬A类报告号：260661531</v>
          </cell>
        </row>
        <row r="523">
          <cell r="H523" t="str">
            <v>JDG65017</v>
          </cell>
          <cell r="I523">
            <v>46186</v>
          </cell>
          <cell r="J523" t="str">
            <v>2026年秋冬A类报告号：260661531</v>
          </cell>
        </row>
        <row r="524">
          <cell r="H524" t="str">
            <v>JKG65015</v>
          </cell>
          <cell r="I524">
            <v>46186</v>
          </cell>
          <cell r="J524" t="str">
            <v>2026年秋冬A类报告号：260661531</v>
          </cell>
        </row>
        <row r="525">
          <cell r="H525" t="str">
            <v>JQG63923</v>
          </cell>
          <cell r="I525">
            <v>46186</v>
          </cell>
          <cell r="J525" t="str">
            <v>2026年秋冬A类报告号：260661531</v>
          </cell>
        </row>
        <row r="526">
          <cell r="H526" t="str">
            <v>JHG63924</v>
          </cell>
          <cell r="I526">
            <v>46186</v>
          </cell>
          <cell r="J526" t="str">
            <v>2026年秋冬A类报告号：260661531</v>
          </cell>
        </row>
        <row r="527">
          <cell r="H527" t="str">
            <v>JYN64853</v>
          </cell>
          <cell r="I527">
            <v>46186</v>
          </cell>
          <cell r="J527" t="str">
            <v>2026年秋冬A类报告号：260661531</v>
          </cell>
        </row>
        <row r="528">
          <cell r="H528" t="str">
            <v>JAG64854</v>
          </cell>
          <cell r="I528">
            <v>46186</v>
          </cell>
          <cell r="J528" t="str">
            <v>2026年秋冬A类报告号：260661531</v>
          </cell>
        </row>
        <row r="529">
          <cell r="H529" t="str">
            <v>JYN64814A</v>
          </cell>
          <cell r="I529">
            <v>46186</v>
          </cell>
          <cell r="J529" t="str">
            <v>2026年秋冬A类报告号：260661531</v>
          </cell>
        </row>
        <row r="530">
          <cell r="H530" t="str">
            <v>JYN64855</v>
          </cell>
          <cell r="I530">
            <v>46186</v>
          </cell>
          <cell r="J530" t="str">
            <v>2026年秋冬A类报告号：260661531</v>
          </cell>
        </row>
        <row r="531">
          <cell r="H531" t="str">
            <v>JYG64856</v>
          </cell>
          <cell r="I531">
            <v>46186</v>
          </cell>
          <cell r="J531" t="str">
            <v>2026年秋冬A类报告号：260661531</v>
          </cell>
        </row>
        <row r="532">
          <cell r="H532" t="str">
            <v>JYB64858</v>
          </cell>
          <cell r="I532">
            <v>46186</v>
          </cell>
          <cell r="J532" t="str">
            <v>2026年秋冬A类报告号：260661531</v>
          </cell>
        </row>
        <row r="533">
          <cell r="H533" t="str">
            <v>JYG64857</v>
          </cell>
          <cell r="I533">
            <v>46186</v>
          </cell>
          <cell r="J533" t="str">
            <v>2026年秋冬A类报告号：260661531</v>
          </cell>
        </row>
        <row r="534">
          <cell r="H534" t="str">
            <v>JYB64860</v>
          </cell>
          <cell r="I534">
            <v>46186</v>
          </cell>
          <cell r="J534" t="str">
            <v>2026年秋冬A类报告号：260661531</v>
          </cell>
        </row>
        <row r="535">
          <cell r="H535" t="str">
            <v>JYB64861</v>
          </cell>
          <cell r="I535">
            <v>46186</v>
          </cell>
          <cell r="J535" t="str">
            <v>2026年秋冬A类报告号：260661531</v>
          </cell>
        </row>
        <row r="536">
          <cell r="H536" t="str">
            <v>JQG65020</v>
          </cell>
          <cell r="I536">
            <v>46186</v>
          </cell>
          <cell r="J536" t="str">
            <v>2026年秋冬A类报告号：260661531</v>
          </cell>
        </row>
        <row r="537">
          <cell r="H537" t="str">
            <v>JKG65023</v>
          </cell>
          <cell r="I537">
            <v>46186</v>
          </cell>
          <cell r="J537" t="str">
            <v>2026年秋冬A类报告号：260661531</v>
          </cell>
        </row>
        <row r="538">
          <cell r="H538" t="str">
            <v>JDG65024</v>
          </cell>
          <cell r="I538">
            <v>46186</v>
          </cell>
          <cell r="J538" t="str">
            <v>2026年秋冬A类报告号：260661531</v>
          </cell>
        </row>
        <row r="539">
          <cell r="H539" t="str">
            <v>JDG65031</v>
          </cell>
          <cell r="I539">
            <v>46186</v>
          </cell>
          <cell r="J539" t="str">
            <v>2026年秋冬A类报告号：260661531</v>
          </cell>
        </row>
        <row r="540">
          <cell r="H540" t="str">
            <v>JKG64010</v>
          </cell>
          <cell r="I540">
            <v>46186</v>
          </cell>
          <cell r="J540" t="str">
            <v>2026年秋冬A类报告号：260661531</v>
          </cell>
        </row>
        <row r="541">
          <cell r="H541" t="str">
            <v>JKN65027</v>
          </cell>
          <cell r="I541">
            <v>46186</v>
          </cell>
          <cell r="J541" t="str">
            <v>2026年秋冬A类报告号：260661531</v>
          </cell>
        </row>
        <row r="542">
          <cell r="H542" t="str">
            <v>JKG65028</v>
          </cell>
          <cell r="I542">
            <v>46186</v>
          </cell>
          <cell r="J542" t="str">
            <v>2026年秋冬A类报告号：260661531</v>
          </cell>
        </row>
        <row r="543">
          <cell r="H543" t="str">
            <v>JJG65030</v>
          </cell>
          <cell r="I543">
            <v>46186</v>
          </cell>
          <cell r="J543" t="str">
            <v>2026年秋冬A类报告号：260661531</v>
          </cell>
        </row>
        <row r="544">
          <cell r="H544" t="str">
            <v>JRN63125</v>
          </cell>
          <cell r="I544">
            <v>46186</v>
          </cell>
          <cell r="J544" t="str">
            <v>2026年秋冬A类报告号：260661531</v>
          </cell>
        </row>
        <row r="545">
          <cell r="H545" t="str">
            <v>JRG63126</v>
          </cell>
          <cell r="I545">
            <v>46186</v>
          </cell>
          <cell r="J545" t="str">
            <v>2026年秋冬A类报告号：260661531</v>
          </cell>
        </row>
        <row r="546">
          <cell r="H546" t="str">
            <v>JHN64011</v>
          </cell>
          <cell r="I546">
            <v>46186</v>
          </cell>
          <cell r="J546" t="str">
            <v>2026年秋冬A类报告号：260661531</v>
          </cell>
        </row>
        <row r="547">
          <cell r="H547" t="str">
            <v>JKG65032</v>
          </cell>
          <cell r="I547">
            <v>46186</v>
          </cell>
          <cell r="J547" t="str">
            <v>2026年秋冬A类报告号：260661531</v>
          </cell>
        </row>
        <row r="548">
          <cell r="H548" t="str">
            <v>JJG63337</v>
          </cell>
          <cell r="I548">
            <v>46186</v>
          </cell>
          <cell r="J548" t="str">
            <v>2026年秋冬A类报告号：260661531</v>
          </cell>
        </row>
        <row r="549">
          <cell r="H549" t="str">
            <v>JRB63338</v>
          </cell>
          <cell r="I549">
            <v>46186</v>
          </cell>
          <cell r="J549" t="str">
            <v>2026年秋冬A类报告号：260661531</v>
          </cell>
        </row>
        <row r="550">
          <cell r="H550" t="str">
            <v>JKN63339</v>
          </cell>
          <cell r="I550">
            <v>46186</v>
          </cell>
          <cell r="J550" t="str">
            <v>2026年秋冬A类报告号：260661531</v>
          </cell>
        </row>
        <row r="551">
          <cell r="H551" t="str">
            <v>JKN63340</v>
          </cell>
          <cell r="I551">
            <v>46186</v>
          </cell>
          <cell r="J551" t="str">
            <v>2026年秋冬A类报告号：260661531</v>
          </cell>
        </row>
        <row r="552">
          <cell r="H552" t="str">
            <v>JLG63341</v>
          </cell>
          <cell r="I552">
            <v>46186</v>
          </cell>
          <cell r="J552" t="str">
            <v>2026年秋冬A类报告号：260661531</v>
          </cell>
        </row>
        <row r="553">
          <cell r="H553" t="str">
            <v>JJB65605</v>
          </cell>
          <cell r="I553">
            <v>46186</v>
          </cell>
          <cell r="J553" t="str">
            <v>2026年秋冬A类报告号：260661531</v>
          </cell>
        </row>
        <row r="554">
          <cell r="H554" t="str">
            <v>JRG65606</v>
          </cell>
          <cell r="I554">
            <v>46186</v>
          </cell>
          <cell r="J554" t="str">
            <v>2026年秋冬A类报告号：260661531</v>
          </cell>
        </row>
        <row r="555">
          <cell r="H555" t="str">
            <v>JKG65608</v>
          </cell>
          <cell r="I555">
            <v>46186</v>
          </cell>
          <cell r="J555" t="str">
            <v>2026年秋冬A类报告号：260661531</v>
          </cell>
        </row>
        <row r="556">
          <cell r="H556" t="str">
            <v>JKB65609</v>
          </cell>
          <cell r="I556">
            <v>46186</v>
          </cell>
          <cell r="J556" t="str">
            <v>2026年秋冬A类报告号：260661531</v>
          </cell>
        </row>
        <row r="557">
          <cell r="H557" t="str">
            <v>JKB65610</v>
          </cell>
          <cell r="I557">
            <v>46186</v>
          </cell>
          <cell r="J557" t="str">
            <v>2026年秋冬A类报告号：260661531</v>
          </cell>
        </row>
        <row r="558">
          <cell r="H558" t="str">
            <v>JKB65611</v>
          </cell>
          <cell r="I558">
            <v>46186</v>
          </cell>
          <cell r="J558" t="str">
            <v>2026年秋冬A类报告号：260661531</v>
          </cell>
        </row>
        <row r="559">
          <cell r="H559" t="str">
            <v>JLB65613</v>
          </cell>
          <cell r="I559">
            <v>46186</v>
          </cell>
          <cell r="J559" t="str">
            <v>2026年秋冬A类报告号：260661531</v>
          </cell>
        </row>
        <row r="560">
          <cell r="H560" t="str">
            <v>JTN65614</v>
          </cell>
          <cell r="I560">
            <v>46186</v>
          </cell>
          <cell r="J560" t="str">
            <v>2026年秋冬A类报告号：260661531</v>
          </cell>
        </row>
        <row r="561">
          <cell r="H561" t="str">
            <v>JJG64606</v>
          </cell>
          <cell r="I561">
            <v>46186</v>
          </cell>
          <cell r="J561" t="str">
            <v>2026年秋冬A类报告号：260661531</v>
          </cell>
        </row>
        <row r="562">
          <cell r="H562" t="str">
            <v>JJB64607</v>
          </cell>
          <cell r="I562">
            <v>46186</v>
          </cell>
          <cell r="J562" t="str">
            <v>2026年秋冬A类报告号：260661531</v>
          </cell>
        </row>
        <row r="563">
          <cell r="H563" t="str">
            <v>JKN64609</v>
          </cell>
          <cell r="I563">
            <v>46186</v>
          </cell>
          <cell r="J563" t="str">
            <v>2026年秋冬A类报告号：260661531</v>
          </cell>
        </row>
        <row r="564">
          <cell r="H564" t="str">
            <v>JLG64610</v>
          </cell>
          <cell r="I564">
            <v>46186</v>
          </cell>
          <cell r="J564" t="str">
            <v>2026年秋冬A类报告号：260661531</v>
          </cell>
        </row>
        <row r="565">
          <cell r="H565" t="str">
            <v>JRG63928</v>
          </cell>
          <cell r="I565">
            <v>46186</v>
          </cell>
          <cell r="J565" t="str">
            <v>2026年秋冬A类报告号：260661531</v>
          </cell>
        </row>
        <row r="566">
          <cell r="H566" t="str">
            <v>JXG63930</v>
          </cell>
          <cell r="I566">
            <v>46186</v>
          </cell>
          <cell r="J566" t="str">
            <v>2026年秋冬A类报告号：260661531</v>
          </cell>
        </row>
        <row r="567">
          <cell r="H567" t="str">
            <v>JQG63931</v>
          </cell>
          <cell r="I567">
            <v>46186</v>
          </cell>
          <cell r="J567" t="str">
            <v>2026年秋冬A类报告号：260661531</v>
          </cell>
        </row>
        <row r="568">
          <cell r="H568" t="str">
            <v>JMB65828</v>
          </cell>
          <cell r="I568">
            <v>46186</v>
          </cell>
          <cell r="J568" t="str">
            <v>2026年秋冬A类报告号：260661531</v>
          </cell>
        </row>
        <row r="569">
          <cell r="H569" t="str">
            <v>JAG64869</v>
          </cell>
          <cell r="I569">
            <v>46186</v>
          </cell>
          <cell r="J569" t="str">
            <v>2026年秋冬A类报告号：260661531</v>
          </cell>
        </row>
        <row r="570">
          <cell r="H570" t="str">
            <v>JJG65830</v>
          </cell>
          <cell r="I570">
            <v>46186</v>
          </cell>
          <cell r="J570" t="str">
            <v>2026年秋冬A类报告号：260661531</v>
          </cell>
        </row>
        <row r="571">
          <cell r="H571" t="str">
            <v>JLB65832</v>
          </cell>
          <cell r="I571">
            <v>46186</v>
          </cell>
          <cell r="J571" t="str">
            <v>2026年秋冬A类报告号：260661531</v>
          </cell>
        </row>
        <row r="572">
          <cell r="H572" t="str">
            <v>JRB65833</v>
          </cell>
          <cell r="I572">
            <v>46186</v>
          </cell>
          <cell r="J572" t="str">
            <v>2026年秋冬A类报告号：260661531</v>
          </cell>
        </row>
        <row r="573">
          <cell r="H573" t="str">
            <v>JJB64864</v>
          </cell>
          <cell r="I573">
            <v>46186</v>
          </cell>
          <cell r="J573" t="str">
            <v>2026年秋冬A类报告号：260661531</v>
          </cell>
        </row>
        <row r="574">
          <cell r="H574" t="str">
            <v>JXG65835</v>
          </cell>
          <cell r="I574">
            <v>46186</v>
          </cell>
          <cell r="J574" t="str">
            <v>2026年秋冬A类报告号：260661531</v>
          </cell>
        </row>
        <row r="575">
          <cell r="H575" t="str">
            <v>JKG65836</v>
          </cell>
          <cell r="I575">
            <v>46186</v>
          </cell>
          <cell r="J575" t="str">
            <v>2026年秋冬A类报告号：260661531</v>
          </cell>
        </row>
        <row r="576">
          <cell r="H576" t="str">
            <v>JHB64862</v>
          </cell>
          <cell r="I576">
            <v>46186</v>
          </cell>
          <cell r="J576" t="str">
            <v>2026年秋冬A类报告号：260661531</v>
          </cell>
        </row>
        <row r="577">
          <cell r="H577" t="str">
            <v>JQG63440</v>
          </cell>
          <cell r="I577">
            <v>46186</v>
          </cell>
          <cell r="J577" t="str">
            <v>2026年秋冬A类报告号：260661531</v>
          </cell>
        </row>
        <row r="578">
          <cell r="H578" t="str">
            <v>JKN63438A</v>
          </cell>
          <cell r="I578">
            <v>46186</v>
          </cell>
          <cell r="J578" t="str">
            <v>2026年秋冬A类报告号：260661531</v>
          </cell>
        </row>
        <row r="579">
          <cell r="H579" t="str">
            <v>JMG65511</v>
          </cell>
          <cell r="I579">
            <v>46186</v>
          </cell>
          <cell r="J579" t="str">
            <v>2026年秋冬A类报告号：260661531</v>
          </cell>
        </row>
        <row r="580">
          <cell r="H580" t="str">
            <v>JMG65519</v>
          </cell>
          <cell r="I580">
            <v>46186</v>
          </cell>
          <cell r="J580" t="str">
            <v>2026年秋冬A类报告号：260661531</v>
          </cell>
        </row>
        <row r="581">
          <cell r="H581" t="str">
            <v>JHB65510</v>
          </cell>
          <cell r="I581">
            <v>46186</v>
          </cell>
          <cell r="J581" t="str">
            <v>2026年秋冬A类报告号：260661531</v>
          </cell>
        </row>
        <row r="582">
          <cell r="H582" t="str">
            <v>JZN64515</v>
          </cell>
          <cell r="I582">
            <v>46186</v>
          </cell>
          <cell r="J582" t="str">
            <v>2026年秋冬A类报告号：260661531</v>
          </cell>
        </row>
        <row r="583">
          <cell r="H583" t="str">
            <v>JGN64512</v>
          </cell>
          <cell r="I583">
            <v>46186</v>
          </cell>
          <cell r="J583" t="str">
            <v>2026年秋冬A类报告号：260661531</v>
          </cell>
        </row>
        <row r="584">
          <cell r="H584" t="str">
            <v>JJB64513</v>
          </cell>
          <cell r="I584">
            <v>46186</v>
          </cell>
          <cell r="J584" t="str">
            <v>2026年秋冬A类报告号：260661531</v>
          </cell>
        </row>
        <row r="585">
          <cell r="H585" t="str">
            <v>JDG63439</v>
          </cell>
          <cell r="I585">
            <v>46186</v>
          </cell>
          <cell r="J585" t="str">
            <v>2026年秋冬A类报告号：260661531</v>
          </cell>
        </row>
        <row r="586">
          <cell r="H586" t="str">
            <v>JDG63441</v>
          </cell>
          <cell r="I586">
            <v>46186</v>
          </cell>
          <cell r="J586" t="str">
            <v>2026年秋冬A类报告号：260661531</v>
          </cell>
        </row>
        <row r="587">
          <cell r="H587" t="str">
            <v>JKG65521</v>
          </cell>
          <cell r="I587">
            <v>46186</v>
          </cell>
          <cell r="J587" t="str">
            <v>2026年秋冬A类报告号：260661531</v>
          </cell>
        </row>
        <row r="588">
          <cell r="H588" t="str">
            <v>JRB65523</v>
          </cell>
          <cell r="I588">
            <v>46186</v>
          </cell>
          <cell r="J588" t="str">
            <v>2026年秋冬A类报告号：260661531</v>
          </cell>
        </row>
        <row r="589">
          <cell r="H589" t="str">
            <v>JXB65524</v>
          </cell>
          <cell r="I589">
            <v>46186</v>
          </cell>
          <cell r="J589" t="str">
            <v>2026年秋冬A类报告号：260661531</v>
          </cell>
        </row>
        <row r="590">
          <cell r="H590" t="str">
            <v>JXB65525</v>
          </cell>
          <cell r="I590">
            <v>46186</v>
          </cell>
          <cell r="J590" t="str">
            <v>2026年秋冬A类报告号：260661531</v>
          </cell>
        </row>
        <row r="591">
          <cell r="H591" t="str">
            <v>JYN64859A</v>
          </cell>
          <cell r="I591">
            <v>46186</v>
          </cell>
          <cell r="J591" t="str">
            <v>2026年秋冬A类报告号：260661531</v>
          </cell>
        </row>
        <row r="592">
          <cell r="H592" t="str">
            <v>JTB63933</v>
          </cell>
          <cell r="I592">
            <v>46186</v>
          </cell>
          <cell r="J592" t="str">
            <v>2026年秋冬A类报告号：260661531</v>
          </cell>
        </row>
        <row r="593">
          <cell r="H593" t="str">
            <v>JTG63934</v>
          </cell>
          <cell r="I593">
            <v>46186</v>
          </cell>
          <cell r="J593" t="str">
            <v>2026年秋冬A类报告号：260661531</v>
          </cell>
        </row>
        <row r="594">
          <cell r="H594" t="str">
            <v>JJN65837</v>
          </cell>
          <cell r="I594">
            <v>46186</v>
          </cell>
          <cell r="J594" t="str">
            <v>2026年秋冬A类报告号：260661531</v>
          </cell>
        </row>
        <row r="595">
          <cell r="H595" t="str">
            <v>JJB65841</v>
          </cell>
          <cell r="I595">
            <v>46186</v>
          </cell>
          <cell r="J595" t="str">
            <v>2026年秋冬A类报告号：260661531</v>
          </cell>
        </row>
        <row r="596">
          <cell r="H596" t="str">
            <v>JRB65843</v>
          </cell>
          <cell r="I596">
            <v>46186</v>
          </cell>
          <cell r="J596" t="str">
            <v>2026年秋冬A类报告号：260661531</v>
          </cell>
        </row>
        <row r="597">
          <cell r="H597" t="str">
            <v>JJN65844</v>
          </cell>
          <cell r="I597">
            <v>46186</v>
          </cell>
          <cell r="J597" t="str">
            <v>2026年秋冬A类报告号：260661531</v>
          </cell>
        </row>
        <row r="598">
          <cell r="H598" t="str">
            <v>JTN65850</v>
          </cell>
          <cell r="I598">
            <v>46186</v>
          </cell>
          <cell r="J598" t="str">
            <v>2026年秋冬A类报告号：260661531</v>
          </cell>
        </row>
        <row r="599">
          <cell r="H599" t="str">
            <v>JJN64865</v>
          </cell>
          <cell r="I599">
            <v>46186</v>
          </cell>
          <cell r="J599" t="str">
            <v>2026年秋冬A类报告号：260661531</v>
          </cell>
        </row>
        <row r="600">
          <cell r="H600" t="str">
            <v>JHB64867</v>
          </cell>
          <cell r="I600">
            <v>46186</v>
          </cell>
          <cell r="J600" t="str">
            <v>2026年秋冬A类报告号：260661531</v>
          </cell>
        </row>
        <row r="601">
          <cell r="H601" t="str">
            <v>JDG65037</v>
          </cell>
          <cell r="I601">
            <v>46186</v>
          </cell>
          <cell r="J601" t="str">
            <v>2026年秋冬A类报告号：260661531</v>
          </cell>
        </row>
        <row r="602">
          <cell r="H602" t="str">
            <v>JKG65038</v>
          </cell>
          <cell r="I602">
            <v>46186</v>
          </cell>
          <cell r="J602" t="str">
            <v>2026年秋冬A类报告号：260661531</v>
          </cell>
        </row>
        <row r="603">
          <cell r="H603" t="str">
            <v>JKG65039</v>
          </cell>
          <cell r="I603">
            <v>46186</v>
          </cell>
          <cell r="J603" t="str">
            <v>2026年秋冬A类报告号：260661531</v>
          </cell>
        </row>
        <row r="604">
          <cell r="H604" t="str">
            <v>JKG65040</v>
          </cell>
          <cell r="I604">
            <v>46186</v>
          </cell>
          <cell r="J604" t="str">
            <v>2026年秋冬A类报告号：260661531</v>
          </cell>
        </row>
        <row r="605">
          <cell r="H605" t="str">
            <v>JJB65042</v>
          </cell>
          <cell r="I605">
            <v>46186</v>
          </cell>
          <cell r="J605" t="str">
            <v>2026年秋冬A类报告号：260661531</v>
          </cell>
        </row>
        <row r="606">
          <cell r="H606" t="str">
            <v>JTB65043</v>
          </cell>
          <cell r="I606">
            <v>46186</v>
          </cell>
          <cell r="J606" t="str">
            <v>2026年秋冬A类报告号：260661531</v>
          </cell>
        </row>
        <row r="607">
          <cell r="H607" t="str">
            <v>JLB65044</v>
          </cell>
          <cell r="I607">
            <v>46186</v>
          </cell>
          <cell r="J607" t="str">
            <v>2026年秋冬A类报告号：260661531</v>
          </cell>
        </row>
        <row r="608">
          <cell r="H608" t="str">
            <v>JKB65045</v>
          </cell>
          <cell r="I608">
            <v>46186</v>
          </cell>
          <cell r="J608" t="str">
            <v>2026年秋冬A类报告号：260661531</v>
          </cell>
        </row>
        <row r="609">
          <cell r="H609" t="str">
            <v>JJG65048</v>
          </cell>
          <cell r="I609">
            <v>46186</v>
          </cell>
          <cell r="J609" t="str">
            <v>2026年秋冬A类报告号：260661531</v>
          </cell>
        </row>
        <row r="610">
          <cell r="H610" t="str">
            <v>JKG64013</v>
          </cell>
          <cell r="I610">
            <v>46186</v>
          </cell>
          <cell r="J610" t="str">
            <v>2026年秋冬A类报告号：260661531</v>
          </cell>
        </row>
        <row r="611">
          <cell r="H611" t="str">
            <v>JKG64014</v>
          </cell>
          <cell r="I611">
            <v>46186</v>
          </cell>
          <cell r="J611" t="str">
            <v>2026年秋冬A类报告号：260661531</v>
          </cell>
        </row>
        <row r="612">
          <cell r="H612" t="str">
            <v>JRG65616</v>
          </cell>
          <cell r="I612">
            <v>46186</v>
          </cell>
          <cell r="J612" t="str">
            <v>2026年秋冬A类报告号：260661531</v>
          </cell>
        </row>
        <row r="613">
          <cell r="H613" t="str">
            <v>JRB63336</v>
          </cell>
          <cell r="I613">
            <v>46186</v>
          </cell>
          <cell r="J613" t="str">
            <v>2026年秋冬A类报告号：260661531</v>
          </cell>
        </row>
        <row r="614">
          <cell r="H614" t="str">
            <v>JKG65619</v>
          </cell>
          <cell r="I614">
            <v>46186</v>
          </cell>
          <cell r="J614" t="str">
            <v>2026年秋冬A类报告号：260661531</v>
          </cell>
        </row>
        <row r="615">
          <cell r="H615" t="str">
            <v>JKG65620</v>
          </cell>
          <cell r="I615">
            <v>46186</v>
          </cell>
          <cell r="J615" t="str">
            <v>2026年秋冬A类报告号：260661531</v>
          </cell>
        </row>
        <row r="616">
          <cell r="H616" t="str">
            <v>JLN63335</v>
          </cell>
          <cell r="I616">
            <v>46186</v>
          </cell>
          <cell r="J616" t="str">
            <v>2026年秋冬A类报告号：260661531</v>
          </cell>
        </row>
        <row r="617">
          <cell r="H617" t="str">
            <v>JKN65623</v>
          </cell>
          <cell r="I617">
            <v>46186</v>
          </cell>
          <cell r="J617" t="str">
            <v>2026年秋冬A类报告号：260661531</v>
          </cell>
        </row>
        <row r="618">
          <cell r="H618" t="str">
            <v>JTG65624</v>
          </cell>
          <cell r="I618">
            <v>46186</v>
          </cell>
          <cell r="J618" t="str">
            <v>2026年秋冬A类报告号：260661531</v>
          </cell>
        </row>
        <row r="619">
          <cell r="H619" t="str">
            <v>JTG63334</v>
          </cell>
          <cell r="I619">
            <v>46186</v>
          </cell>
          <cell r="J619" t="str">
            <v>2026年秋冬A类报告号：260661531</v>
          </cell>
        </row>
        <row r="620">
          <cell r="H620" t="str">
            <v>JJN65627</v>
          </cell>
          <cell r="I620">
            <v>46186</v>
          </cell>
          <cell r="J620" t="str">
            <v>2026年秋冬A类报告号：260661531</v>
          </cell>
        </row>
        <row r="621">
          <cell r="H621" t="str">
            <v>JJN65628</v>
          </cell>
          <cell r="I621">
            <v>46186</v>
          </cell>
          <cell r="J621" t="str">
            <v>2026年秋冬A类报告号：260661531</v>
          </cell>
        </row>
        <row r="622">
          <cell r="H622" t="str">
            <v>JJN63442</v>
          </cell>
          <cell r="I622">
            <v>46186</v>
          </cell>
          <cell r="J622" t="str">
            <v>2026年秋冬A类报告号：260661531</v>
          </cell>
        </row>
        <row r="623">
          <cell r="H623" t="str">
            <v>JTB63444</v>
          </cell>
          <cell r="I623">
            <v>46186</v>
          </cell>
          <cell r="J623" t="str">
            <v>2026年秋冬A类报告号：260661531</v>
          </cell>
        </row>
        <row r="624">
          <cell r="H624" t="str">
            <v>JHN63443</v>
          </cell>
          <cell r="I624">
            <v>46186</v>
          </cell>
          <cell r="J624" t="str">
            <v>2026年秋冬A类报告号：260661531</v>
          </cell>
        </row>
        <row r="625">
          <cell r="H625" t="str">
            <v>JNN65539</v>
          </cell>
          <cell r="I625">
            <v>46186</v>
          </cell>
          <cell r="J625" t="str">
            <v>2026年秋冬A类报告号：260661531</v>
          </cell>
        </row>
        <row r="626">
          <cell r="H626" t="str">
            <v>JRB65540</v>
          </cell>
          <cell r="I626">
            <v>46186</v>
          </cell>
          <cell r="J626" t="str">
            <v>2026年秋冬A类报告号：260661531</v>
          </cell>
        </row>
        <row r="627">
          <cell r="H627" t="str">
            <v>JTB65541</v>
          </cell>
          <cell r="I627">
            <v>46186</v>
          </cell>
          <cell r="J627" t="str">
            <v>2026年秋冬A类报告号：260661531</v>
          </cell>
        </row>
        <row r="628">
          <cell r="H628" t="str">
            <v>JJB65542</v>
          </cell>
          <cell r="I628">
            <v>46186</v>
          </cell>
          <cell r="J628" t="str">
            <v>2026年秋冬A类报告号：260661531</v>
          </cell>
        </row>
        <row r="629">
          <cell r="H629" t="str">
            <v>JLG65547</v>
          </cell>
          <cell r="I629">
            <v>46186</v>
          </cell>
          <cell r="J629" t="str">
            <v>2026年秋冬A类报告号：260661531</v>
          </cell>
        </row>
        <row r="630">
          <cell r="H630" t="str">
            <v>JKB65545</v>
          </cell>
          <cell r="I630">
            <v>46186</v>
          </cell>
          <cell r="J630" t="str">
            <v>2026年秋冬A类报告号：260661531</v>
          </cell>
        </row>
        <row r="631">
          <cell r="H631" t="str">
            <v>JKB65544</v>
          </cell>
          <cell r="I631">
            <v>46186</v>
          </cell>
          <cell r="J631" t="str">
            <v>2026年秋冬A类报告号：260661531</v>
          </cell>
        </row>
        <row r="632">
          <cell r="H632" t="str">
            <v>JKB65543</v>
          </cell>
          <cell r="I632">
            <v>46186</v>
          </cell>
          <cell r="J632" t="str">
            <v>2026年秋冬A类报告号：260661531</v>
          </cell>
        </row>
        <row r="633">
          <cell r="H633" t="str">
            <v>JKG65550</v>
          </cell>
          <cell r="I633">
            <v>46186</v>
          </cell>
          <cell r="J633" t="str">
            <v>2026年秋冬A类报告号：260661531</v>
          </cell>
        </row>
        <row r="634">
          <cell r="H634" t="str">
            <v>JKG63333</v>
          </cell>
          <cell r="I634">
            <v>46186</v>
          </cell>
          <cell r="J634" t="str">
            <v>2026年秋冬A类报告号：260661531</v>
          </cell>
        </row>
        <row r="635">
          <cell r="H635" t="str">
            <v>JQG63920</v>
          </cell>
          <cell r="I635">
            <v>46186</v>
          </cell>
          <cell r="J635" t="str">
            <v>2026年秋冬A类报告号：260661531</v>
          </cell>
        </row>
        <row r="636">
          <cell r="H636" t="str">
            <v>JXN65829</v>
          </cell>
          <cell r="I636">
            <v>46186</v>
          </cell>
          <cell r="J636" t="str">
            <v>2026年秋冬A类报告号：260661531</v>
          </cell>
        </row>
        <row r="637">
          <cell r="H637" t="str">
            <v>JXN65847</v>
          </cell>
          <cell r="I637">
            <v>46186</v>
          </cell>
          <cell r="J637" t="str">
            <v>2026年秋冬A类报告号：260661531</v>
          </cell>
        </row>
        <row r="638">
          <cell r="H638" t="str">
            <v>JGN65848</v>
          </cell>
          <cell r="I638">
            <v>46186</v>
          </cell>
          <cell r="J638" t="str">
            <v>2026年秋冬A类报告号：260661531</v>
          </cell>
        </row>
        <row r="639">
          <cell r="H639" t="str">
            <v>JTG63940</v>
          </cell>
          <cell r="I639">
            <v>46186</v>
          </cell>
          <cell r="J639" t="str">
            <v>2026年秋冬A类报告号：260661531</v>
          </cell>
        </row>
        <row r="640">
          <cell r="H640" t="str">
            <v>JRG65831</v>
          </cell>
          <cell r="I640">
            <v>46186</v>
          </cell>
          <cell r="J640" t="str">
            <v>2026年秋冬A类报告号：260661531</v>
          </cell>
        </row>
        <row r="641">
          <cell r="H641" t="str">
            <v>JTG65852</v>
          </cell>
          <cell r="I641">
            <v>46186</v>
          </cell>
          <cell r="J641" t="str">
            <v>2026年秋冬A类报告号：260661531</v>
          </cell>
        </row>
        <row r="642">
          <cell r="H642" t="str">
            <v>JGG65853</v>
          </cell>
          <cell r="I642">
            <v>46186</v>
          </cell>
          <cell r="J642" t="str">
            <v>2026年秋冬A类报告号：260661531</v>
          </cell>
        </row>
        <row r="643">
          <cell r="H643" t="str">
            <v>JKG64875</v>
          </cell>
          <cell r="I643">
            <v>46186</v>
          </cell>
          <cell r="J643" t="str">
            <v>2026年秋冬A类报告号：260661531</v>
          </cell>
        </row>
        <row r="644">
          <cell r="H644" t="str">
            <v>JMG65845</v>
          </cell>
          <cell r="I644">
            <v>46186</v>
          </cell>
          <cell r="J644" t="str">
            <v>2026年秋冬A类报告号：260661531</v>
          </cell>
        </row>
        <row r="645">
          <cell r="H645" t="str">
            <v>JXG63332</v>
          </cell>
          <cell r="I645">
            <v>46186</v>
          </cell>
          <cell r="J645" t="str">
            <v>2026年秋冬A类报告号：260661531</v>
          </cell>
        </row>
        <row r="646">
          <cell r="H646" t="str">
            <v>JQG63331</v>
          </cell>
          <cell r="I646">
            <v>46186</v>
          </cell>
          <cell r="J646" t="str">
            <v>2026年秋冬A类报告号：260661531</v>
          </cell>
        </row>
        <row r="647">
          <cell r="H647" t="str">
            <v>JGN65634</v>
          </cell>
          <cell r="I647">
            <v>46186</v>
          </cell>
          <cell r="J647" t="str">
            <v>2026年秋冬A类报告号：260661531</v>
          </cell>
        </row>
        <row r="648">
          <cell r="H648" t="str">
            <v>JXB65636</v>
          </cell>
          <cell r="I648">
            <v>46186</v>
          </cell>
          <cell r="J648" t="str">
            <v>2026年秋冬A类报告号：260661531</v>
          </cell>
        </row>
        <row r="649">
          <cell r="H649" t="str">
            <v>JRN65637</v>
          </cell>
          <cell r="I649">
            <v>46186</v>
          </cell>
          <cell r="J649" t="str">
            <v>2026年秋冬A类报告号：260661531</v>
          </cell>
        </row>
        <row r="650">
          <cell r="H650" t="str">
            <v>JDG65638</v>
          </cell>
          <cell r="I650">
            <v>46186</v>
          </cell>
          <cell r="J650" t="str">
            <v>2026年秋冬A类报告号：260661531</v>
          </cell>
        </row>
        <row r="651">
          <cell r="H651" t="str">
            <v>JKG65640</v>
          </cell>
          <cell r="I651">
            <v>46186</v>
          </cell>
          <cell r="J651" t="str">
            <v>2026年秋冬A类报告号：260661531</v>
          </cell>
        </row>
        <row r="652">
          <cell r="H652" t="str">
            <v>JKB65641</v>
          </cell>
          <cell r="I652">
            <v>46186</v>
          </cell>
          <cell r="J652" t="str">
            <v>2026年秋冬A类报告号：260661531</v>
          </cell>
        </row>
        <row r="653">
          <cell r="H653" t="str">
            <v>JJB64615</v>
          </cell>
          <cell r="I653">
            <v>46186</v>
          </cell>
          <cell r="J653" t="str">
            <v>2026年秋冬A类报告号：260661531</v>
          </cell>
        </row>
        <row r="654">
          <cell r="H654" t="str">
            <v>JXB65051</v>
          </cell>
          <cell r="I654">
            <v>46186</v>
          </cell>
          <cell r="J654" t="str">
            <v>2026年秋冬A类报告号：260661531</v>
          </cell>
        </row>
        <row r="655">
          <cell r="H655" t="str">
            <v>JJN64015</v>
          </cell>
          <cell r="I655">
            <v>46186</v>
          </cell>
          <cell r="J655" t="str">
            <v>2026年秋冬A类报告号：260661531</v>
          </cell>
        </row>
        <row r="656">
          <cell r="H656" t="str">
            <v>JKG65053</v>
          </cell>
          <cell r="I656">
            <v>46186</v>
          </cell>
          <cell r="J656" t="str">
            <v>2026年秋冬A类报告号：260661531</v>
          </cell>
        </row>
        <row r="657">
          <cell r="H657" t="str">
            <v>JKN64018</v>
          </cell>
          <cell r="I657">
            <v>46186</v>
          </cell>
          <cell r="J657" t="str">
            <v>2026年秋冬A类报告号：260661531</v>
          </cell>
        </row>
        <row r="658">
          <cell r="H658" t="str">
            <v>JKB64019</v>
          </cell>
          <cell r="I658">
            <v>46186</v>
          </cell>
          <cell r="J658" t="str">
            <v>2026年秋冬A类报告号：260661531</v>
          </cell>
        </row>
        <row r="659">
          <cell r="H659" t="str">
            <v>JKN64020</v>
          </cell>
          <cell r="I659">
            <v>46186</v>
          </cell>
          <cell r="J659" t="str">
            <v>2026年秋冬A类报告号：260661531</v>
          </cell>
        </row>
        <row r="660">
          <cell r="H660" t="str">
            <v>JXB65056</v>
          </cell>
          <cell r="I660">
            <v>46186</v>
          </cell>
          <cell r="J660" t="str">
            <v>2026年秋冬A类报告号：260661531</v>
          </cell>
        </row>
        <row r="661">
          <cell r="H661" t="str">
            <v>JTB65057</v>
          </cell>
          <cell r="I661">
            <v>46186</v>
          </cell>
          <cell r="J661" t="str">
            <v>2026年秋冬A类报告号：260661531</v>
          </cell>
        </row>
        <row r="662">
          <cell r="H662" t="str">
            <v>JJB64016</v>
          </cell>
          <cell r="I662">
            <v>46186</v>
          </cell>
          <cell r="J662" t="str">
            <v>2026年秋冬A类报告号：260661531</v>
          </cell>
        </row>
        <row r="663">
          <cell r="H663" t="str">
            <v>JKB64017</v>
          </cell>
          <cell r="I663">
            <v>46186</v>
          </cell>
          <cell r="J663" t="str">
            <v>2026年秋冬A类报告号：260661531</v>
          </cell>
        </row>
        <row r="664">
          <cell r="H664" t="str">
            <v>JCG63447</v>
          </cell>
          <cell r="I664">
            <v>46186</v>
          </cell>
          <cell r="J664" t="str">
            <v>2026年秋冬A类报告号：260661531</v>
          </cell>
        </row>
        <row r="665">
          <cell r="H665" t="str">
            <v>JXG63446</v>
          </cell>
          <cell r="I665">
            <v>46186</v>
          </cell>
          <cell r="J665" t="str">
            <v>2026年秋冬A类报告号：260661531</v>
          </cell>
        </row>
        <row r="666">
          <cell r="H666" t="str">
            <v>JXN63445</v>
          </cell>
          <cell r="I666">
            <v>46186</v>
          </cell>
          <cell r="J666" t="str">
            <v>2026年秋冬A类报告号：260661531</v>
          </cell>
        </row>
        <row r="667">
          <cell r="H667" t="str">
            <v>JXG65564</v>
          </cell>
          <cell r="I667">
            <v>46186</v>
          </cell>
          <cell r="J667" t="str">
            <v>2026年秋冬A类报告号：260661531</v>
          </cell>
        </row>
        <row r="668">
          <cell r="H668" t="str">
            <v>JXG65565</v>
          </cell>
          <cell r="I668">
            <v>46186</v>
          </cell>
          <cell r="J668" t="str">
            <v>2026年秋冬A类报告号：260661531</v>
          </cell>
        </row>
        <row r="669">
          <cell r="H669" t="str">
            <v>JXG65566</v>
          </cell>
          <cell r="I669">
            <v>46186</v>
          </cell>
          <cell r="J669" t="str">
            <v>2026年秋冬A类报告号：260661531</v>
          </cell>
        </row>
        <row r="670">
          <cell r="H670" t="str">
            <v>JRG65567</v>
          </cell>
          <cell r="I670">
            <v>46186</v>
          </cell>
          <cell r="J670" t="str">
            <v>2026年秋冬A类报告号：260661531</v>
          </cell>
        </row>
        <row r="671">
          <cell r="H671" t="str">
            <v>JDG65568</v>
          </cell>
          <cell r="I671">
            <v>46186</v>
          </cell>
          <cell r="J671" t="str">
            <v>2026年秋冬A类报告号：260661531</v>
          </cell>
        </row>
        <row r="672">
          <cell r="H672" t="str">
            <v>JKN65569</v>
          </cell>
          <cell r="I672">
            <v>46186</v>
          </cell>
          <cell r="J672" t="str">
            <v>2026年秋冬A类报告号：260661531</v>
          </cell>
        </row>
        <row r="673">
          <cell r="H673" t="str">
            <v>JKN65570</v>
          </cell>
          <cell r="I673">
            <v>46186</v>
          </cell>
          <cell r="J673" t="str">
            <v>2026年秋冬A类报告号：260661531</v>
          </cell>
        </row>
        <row r="674">
          <cell r="H674" t="str">
            <v>JKB65571</v>
          </cell>
          <cell r="I674">
            <v>46186</v>
          </cell>
          <cell r="J674" t="str">
            <v>2026年秋冬A类报告号：260661531</v>
          </cell>
        </row>
        <row r="675">
          <cell r="H675" t="str">
            <v>JJB64516</v>
          </cell>
          <cell r="I675">
            <v>46186</v>
          </cell>
          <cell r="J675" t="str">
            <v>2026年秋冬A类报告号：260661531</v>
          </cell>
        </row>
        <row r="676">
          <cell r="H676" t="str">
            <v>JJG65572</v>
          </cell>
          <cell r="I676">
            <v>46186</v>
          </cell>
          <cell r="J676" t="str">
            <v>2026年秋冬A类报告号：260661531</v>
          </cell>
        </row>
        <row r="677">
          <cell r="H677" t="str">
            <v>JKG65573</v>
          </cell>
          <cell r="I677">
            <v>46186</v>
          </cell>
          <cell r="J677" t="str">
            <v>2026年秋冬A类报告号：260661531</v>
          </cell>
        </row>
        <row r="678">
          <cell r="H678" t="str">
            <v>JHN65574</v>
          </cell>
          <cell r="I678">
            <v>46186</v>
          </cell>
          <cell r="J678" t="str">
            <v>2026年秋冬A类报告号：260661531</v>
          </cell>
        </row>
        <row r="679">
          <cell r="H679" t="str">
            <v>JHB65575</v>
          </cell>
          <cell r="I679">
            <v>46186</v>
          </cell>
          <cell r="J679" t="str">
            <v>2026年秋冬A类报告号：260661531</v>
          </cell>
        </row>
        <row r="680">
          <cell r="H680" t="str">
            <v>JQG65576</v>
          </cell>
          <cell r="I680">
            <v>46186</v>
          </cell>
          <cell r="J680" t="str">
            <v>2026年秋冬A类报告号：260661531</v>
          </cell>
        </row>
        <row r="681">
          <cell r="H681" t="str">
            <v>JMB63941</v>
          </cell>
          <cell r="I681">
            <v>46186</v>
          </cell>
          <cell r="J681" t="str">
            <v>2026年秋冬A类报告号：260661531</v>
          </cell>
        </row>
        <row r="682">
          <cell r="H682" t="str">
            <v>JLG63330</v>
          </cell>
          <cell r="I682">
            <v>46186</v>
          </cell>
          <cell r="J682" t="str">
            <v>2026年秋冬A类报告号：260661531</v>
          </cell>
        </row>
        <row r="683">
          <cell r="H683" t="str">
            <v>JTG63870</v>
          </cell>
          <cell r="I683">
            <v>46199</v>
          </cell>
          <cell r="J683" t="str">
            <v>26秋冬A类 报告260661531-1</v>
          </cell>
        </row>
        <row r="684">
          <cell r="H684" t="str">
            <v>JXB63329</v>
          </cell>
          <cell r="I684">
            <v>46199</v>
          </cell>
          <cell r="J684" t="str">
            <v>26秋冬A类 报告260661531-1</v>
          </cell>
        </row>
        <row r="685">
          <cell r="H685" t="str">
            <v>JLN63328</v>
          </cell>
          <cell r="I685">
            <v>46199</v>
          </cell>
          <cell r="J685" t="str">
            <v>26秋冬A类 报告260661531-1</v>
          </cell>
        </row>
        <row r="686">
          <cell r="H686" t="str">
            <v>JTG63327</v>
          </cell>
          <cell r="I686">
            <v>46199</v>
          </cell>
          <cell r="J686" t="str">
            <v>26秋冬A类 报告260661531-1</v>
          </cell>
        </row>
        <row r="687">
          <cell r="H687" t="str">
            <v>JTB63326</v>
          </cell>
          <cell r="I687">
            <v>46199</v>
          </cell>
          <cell r="J687" t="str">
            <v>26秋冬A类 报告260661531-1</v>
          </cell>
        </row>
        <row r="688">
          <cell r="H688" t="str">
            <v>JJN63325</v>
          </cell>
          <cell r="I688">
            <v>46199</v>
          </cell>
          <cell r="J688" t="str">
            <v>26秋冬A类 报告260661531-1</v>
          </cell>
        </row>
        <row r="689">
          <cell r="H689" t="str">
            <v>JXG65644</v>
          </cell>
          <cell r="I689">
            <v>46199</v>
          </cell>
          <cell r="J689" t="str">
            <v>26秋冬A类 报告260661531-1</v>
          </cell>
        </row>
        <row r="690">
          <cell r="H690" t="str">
            <v>JXG65645</v>
          </cell>
          <cell r="I690">
            <v>46199</v>
          </cell>
          <cell r="J690" t="str">
            <v>26秋冬A类 报告260661531-1</v>
          </cell>
        </row>
        <row r="691">
          <cell r="H691" t="str">
            <v>JRG65646</v>
          </cell>
          <cell r="I691">
            <v>46199</v>
          </cell>
          <cell r="J691" t="str">
            <v>26秋冬A类 报告260661531-1</v>
          </cell>
        </row>
        <row r="692">
          <cell r="H692" t="str">
            <v>JRN65647</v>
          </cell>
          <cell r="I692">
            <v>46199</v>
          </cell>
          <cell r="J692" t="str">
            <v>26秋冬A类 报告260661531-1</v>
          </cell>
        </row>
        <row r="693">
          <cell r="H693" t="str">
            <v>JRB65648</v>
          </cell>
          <cell r="I693">
            <v>46199</v>
          </cell>
          <cell r="J693" t="str">
            <v>26秋冬A类 报告260661531-1</v>
          </cell>
        </row>
        <row r="694">
          <cell r="H694" t="str">
            <v>JKN65649</v>
          </cell>
          <cell r="I694">
            <v>46199</v>
          </cell>
          <cell r="J694" t="str">
            <v>26秋冬A类 报告260661531-1</v>
          </cell>
        </row>
        <row r="695">
          <cell r="H695" t="str">
            <v>JTN65650</v>
          </cell>
          <cell r="I695">
            <v>46199</v>
          </cell>
          <cell r="J695" t="str">
            <v>26秋冬A类 报告260661531-1</v>
          </cell>
        </row>
        <row r="696">
          <cell r="H696" t="str">
            <v>JJB64618</v>
          </cell>
          <cell r="I696">
            <v>46199</v>
          </cell>
          <cell r="J696" t="str">
            <v>26秋冬A类 报告260661531-1</v>
          </cell>
        </row>
        <row r="697">
          <cell r="H697" t="str">
            <v>JJN65559</v>
          </cell>
          <cell r="I697">
            <v>46199</v>
          </cell>
          <cell r="J697" t="str">
            <v>26秋冬A类 报告260661531-1</v>
          </cell>
        </row>
        <row r="698">
          <cell r="H698" t="str">
            <v>JHN65560</v>
          </cell>
          <cell r="I698">
            <v>46199</v>
          </cell>
          <cell r="J698" t="str">
            <v>26秋冬A类 报告260661531-1</v>
          </cell>
        </row>
        <row r="699">
          <cell r="H699" t="str">
            <v>JHN65581</v>
          </cell>
          <cell r="I699">
            <v>46199</v>
          </cell>
          <cell r="J699" t="str">
            <v>26秋冬A类 报告260661531-1</v>
          </cell>
        </row>
        <row r="700">
          <cell r="H700" t="str">
            <v>JZN65561</v>
          </cell>
          <cell r="I700">
            <v>46199</v>
          </cell>
          <cell r="J700" t="str">
            <v>26秋冬A类 报告260661531-1</v>
          </cell>
        </row>
        <row r="701">
          <cell r="H701" t="str">
            <v>JZN65582</v>
          </cell>
          <cell r="I701">
            <v>46199</v>
          </cell>
          <cell r="J701" t="str">
            <v>26秋冬A类 报告260661531-1</v>
          </cell>
        </row>
        <row r="702">
          <cell r="H702" t="str">
            <v>JXN65502</v>
          </cell>
          <cell r="I702">
            <v>46199</v>
          </cell>
          <cell r="J702" t="str">
            <v>26秋冬A类 报告260661531-1</v>
          </cell>
        </row>
        <row r="703">
          <cell r="H703" t="str">
            <v>JCB65583</v>
          </cell>
          <cell r="I703">
            <v>46199</v>
          </cell>
          <cell r="J703" t="str">
            <v>26秋冬A类 报告260661531-1</v>
          </cell>
        </row>
        <row r="704">
          <cell r="H704" t="str">
            <v>JCG63448</v>
          </cell>
          <cell r="I704">
            <v>46199</v>
          </cell>
          <cell r="J704" t="str">
            <v>26秋冬A类 报告260661531-1</v>
          </cell>
        </row>
        <row r="705">
          <cell r="H705" t="str">
            <v>JKN63449</v>
          </cell>
          <cell r="I705">
            <v>46199</v>
          </cell>
          <cell r="J705" t="str">
            <v>26秋冬A类 报告260661531-1</v>
          </cell>
        </row>
        <row r="706">
          <cell r="H706" t="str">
            <v>JKG63420</v>
          </cell>
          <cell r="I706">
            <v>46199</v>
          </cell>
          <cell r="J706" t="str">
            <v>26秋冬A类 报告260661531-1</v>
          </cell>
        </row>
        <row r="707">
          <cell r="H707" t="str">
            <v>JMB65558</v>
          </cell>
          <cell r="I707">
            <v>46199</v>
          </cell>
          <cell r="J707" t="str">
            <v>26秋冬A类 报告260661531-1</v>
          </cell>
        </row>
        <row r="708">
          <cell r="H708" t="str">
            <v>JLG65587</v>
          </cell>
          <cell r="I708">
            <v>46199</v>
          </cell>
          <cell r="J708" t="str">
            <v>26秋冬A类 报告260661531-1</v>
          </cell>
        </row>
        <row r="709">
          <cell r="H709" t="str">
            <v>JNG65586</v>
          </cell>
          <cell r="I709">
            <v>46199</v>
          </cell>
          <cell r="J709" t="str">
            <v>26秋冬A类 报告260661531-1</v>
          </cell>
        </row>
        <row r="710">
          <cell r="H710" t="str">
            <v>JZG65585</v>
          </cell>
          <cell r="I710">
            <v>46199</v>
          </cell>
          <cell r="J710" t="str">
            <v>26秋冬A类 报告260661531-1</v>
          </cell>
        </row>
        <row r="711">
          <cell r="H711" t="str">
            <v>JXB63942</v>
          </cell>
          <cell r="I711">
            <v>46199</v>
          </cell>
          <cell r="J711" t="str">
            <v>26秋冬A类 报告260661531-1</v>
          </cell>
        </row>
        <row r="712">
          <cell r="H712" t="str">
            <v>JCG63943</v>
          </cell>
          <cell r="I712">
            <v>46199</v>
          </cell>
          <cell r="J712" t="str">
            <v>26秋冬A类 报告260661531-1</v>
          </cell>
        </row>
        <row r="713">
          <cell r="H713" t="str">
            <v>JQG65857</v>
          </cell>
          <cell r="I713">
            <v>46199</v>
          </cell>
          <cell r="J713" t="str">
            <v>26秋冬A类 报告260661531-1</v>
          </cell>
        </row>
        <row r="714">
          <cell r="H714" t="str">
            <v>JKB65858</v>
          </cell>
          <cell r="I714">
            <v>46199</v>
          </cell>
          <cell r="J714" t="str">
            <v>26秋冬A类 报告260661531-1</v>
          </cell>
        </row>
        <row r="715">
          <cell r="H715" t="str">
            <v>JJG65859</v>
          </cell>
          <cell r="I715">
            <v>46199</v>
          </cell>
          <cell r="J715" t="str">
            <v>26秋冬A类 报告260661531-1</v>
          </cell>
        </row>
        <row r="716">
          <cell r="H716" t="str">
            <v>JJB65860</v>
          </cell>
          <cell r="I716">
            <v>46199</v>
          </cell>
          <cell r="J716" t="str">
            <v>26秋冬A类 报告260661531-1</v>
          </cell>
        </row>
        <row r="717">
          <cell r="H717" t="str">
            <v>JKN64876</v>
          </cell>
          <cell r="I717">
            <v>46199</v>
          </cell>
          <cell r="J717" t="str">
            <v>26秋冬A类 报告260661531-1</v>
          </cell>
        </row>
        <row r="718">
          <cell r="H718" t="str">
            <v>JTB65065</v>
          </cell>
          <cell r="I718">
            <v>46199</v>
          </cell>
          <cell r="J718" t="str">
            <v>26秋冬A类 报告260661531-1</v>
          </cell>
        </row>
        <row r="719">
          <cell r="H719" t="str">
            <v>JHB65067</v>
          </cell>
          <cell r="I719">
            <v>46199</v>
          </cell>
          <cell r="J719" t="str">
            <v>26秋冬A类 报告260661531-1</v>
          </cell>
        </row>
        <row r="720">
          <cell r="H720" t="str">
            <v>JQG65069</v>
          </cell>
          <cell r="I720">
            <v>46199</v>
          </cell>
          <cell r="J720" t="str">
            <v>26秋冬A类 报告260661531-1</v>
          </cell>
        </row>
        <row r="721">
          <cell r="H721" t="str">
            <v>JXG65070</v>
          </cell>
          <cell r="I721">
            <v>46199</v>
          </cell>
          <cell r="J721" t="str">
            <v>26秋冬A类 报告260661531-1</v>
          </cell>
        </row>
        <row r="722">
          <cell r="H722" t="str">
            <v>JDG65071</v>
          </cell>
          <cell r="I722">
            <v>46199</v>
          </cell>
          <cell r="J722" t="str">
            <v>26秋冬A类 报告260661531-1</v>
          </cell>
        </row>
        <row r="723">
          <cell r="H723" t="str">
            <v>JTG63127</v>
          </cell>
          <cell r="I723">
            <v>46199</v>
          </cell>
          <cell r="J723" t="str">
            <v>26秋冬A类 报告260661531-1</v>
          </cell>
        </row>
        <row r="724">
          <cell r="H724" t="str">
            <v>JMN63128</v>
          </cell>
          <cell r="I724">
            <v>46199</v>
          </cell>
          <cell r="J724" t="str">
            <v>26秋冬A类 报告260661531-1</v>
          </cell>
        </row>
        <row r="725">
          <cell r="H725" t="str">
            <v>JKN64022</v>
          </cell>
          <cell r="I725">
            <v>46199</v>
          </cell>
          <cell r="J725" t="str">
            <v>26秋冬A类 报告260661531-1</v>
          </cell>
        </row>
        <row r="726">
          <cell r="H726" t="str">
            <v>JGG64620</v>
          </cell>
          <cell r="I726">
            <v>46199</v>
          </cell>
          <cell r="J726" t="str">
            <v>26秋冬A类 报告260661531-1</v>
          </cell>
        </row>
        <row r="727">
          <cell r="H727" t="str">
            <v>JXG65654</v>
          </cell>
          <cell r="I727">
            <v>46199</v>
          </cell>
          <cell r="J727" t="str">
            <v>26秋冬A类 报告260661531-1</v>
          </cell>
        </row>
        <row r="728">
          <cell r="H728" t="str">
            <v>JXB65655</v>
          </cell>
          <cell r="I728">
            <v>46199</v>
          </cell>
          <cell r="J728" t="str">
            <v>26秋冬A类 报告260661531-1</v>
          </cell>
        </row>
        <row r="729">
          <cell r="H729" t="str">
            <v>JRN65658</v>
          </cell>
          <cell r="I729">
            <v>46199</v>
          </cell>
          <cell r="J729" t="str">
            <v>26秋冬A类 报告260661531-1</v>
          </cell>
        </row>
        <row r="730">
          <cell r="H730" t="str">
            <v>JLG64619</v>
          </cell>
          <cell r="I730">
            <v>46199</v>
          </cell>
          <cell r="J730" t="str">
            <v>26秋冬A类 报告260661531-1</v>
          </cell>
        </row>
        <row r="731">
          <cell r="H731" t="str">
            <v>JKG65660</v>
          </cell>
          <cell r="I731">
            <v>46199</v>
          </cell>
          <cell r="J731" t="str">
            <v>26秋冬A类 报告260661531-1</v>
          </cell>
        </row>
        <row r="732">
          <cell r="H732" t="str">
            <v>JKN65661</v>
          </cell>
          <cell r="I732">
            <v>46199</v>
          </cell>
          <cell r="J732" t="str">
            <v>26秋冬A类 报告260661531-1</v>
          </cell>
        </row>
        <row r="733">
          <cell r="H733" t="str">
            <v>JKN65662</v>
          </cell>
          <cell r="I733">
            <v>46199</v>
          </cell>
          <cell r="J733" t="str">
            <v>26秋冬A类 报告260661531-1</v>
          </cell>
        </row>
        <row r="734">
          <cell r="H734" t="str">
            <v>JTN65663</v>
          </cell>
          <cell r="I734">
            <v>46199</v>
          </cell>
          <cell r="J734" t="str">
            <v>26秋冬A类 报告260661531-1</v>
          </cell>
        </row>
        <row r="735">
          <cell r="H735" t="str">
            <v>JHN65551</v>
          </cell>
          <cell r="I735">
            <v>46199</v>
          </cell>
          <cell r="J735" t="str">
            <v>26秋冬A类 报告260661531-1</v>
          </cell>
        </row>
        <row r="736">
          <cell r="H736" t="str">
            <v>JRG65593</v>
          </cell>
          <cell r="I736">
            <v>46199</v>
          </cell>
          <cell r="J736" t="str">
            <v>26秋冬A类 报告260661531-1</v>
          </cell>
        </row>
        <row r="737">
          <cell r="H737" t="str">
            <v>JJN65592</v>
          </cell>
          <cell r="I737">
            <v>46199</v>
          </cell>
          <cell r="J737" t="str">
            <v>26秋冬A类 报告260661531-1</v>
          </cell>
        </row>
        <row r="738">
          <cell r="H738" t="str">
            <v>JKG65591</v>
          </cell>
          <cell r="I738">
            <v>46199</v>
          </cell>
          <cell r="J738" t="str">
            <v>26秋冬A类 报告260661531-1</v>
          </cell>
        </row>
        <row r="739">
          <cell r="H739" t="str">
            <v>JKG64520</v>
          </cell>
          <cell r="I739">
            <v>46199</v>
          </cell>
          <cell r="J739" t="str">
            <v>26秋冬A类 报告260661531-1</v>
          </cell>
        </row>
        <row r="740">
          <cell r="H740" t="str">
            <v>JKN64522</v>
          </cell>
          <cell r="I740">
            <v>46199</v>
          </cell>
          <cell r="J740" t="str">
            <v>26秋冬A类 报告260661531-1</v>
          </cell>
        </row>
        <row r="741">
          <cell r="H741" t="str">
            <v>JKN64521</v>
          </cell>
          <cell r="I741">
            <v>46199</v>
          </cell>
          <cell r="J741" t="str">
            <v>26秋冬A类 报告260661531-1</v>
          </cell>
        </row>
        <row r="742">
          <cell r="H742" t="str">
            <v>JHG65595</v>
          </cell>
          <cell r="I742">
            <v>46199</v>
          </cell>
          <cell r="J742" t="str">
            <v>26秋冬A类 报告260661531-1</v>
          </cell>
        </row>
        <row r="743">
          <cell r="H743" t="str">
            <v>JDG65076</v>
          </cell>
          <cell r="I743">
            <v>46199</v>
          </cell>
          <cell r="J743" t="str">
            <v>26秋冬A类 报告260661531-1</v>
          </cell>
        </row>
        <row r="744">
          <cell r="H744" t="str">
            <v>JQG65081</v>
          </cell>
          <cell r="I744">
            <v>46199</v>
          </cell>
          <cell r="J744" t="str">
            <v>26秋冬A类 报告260661531-1</v>
          </cell>
        </row>
        <row r="745">
          <cell r="H745" t="str">
            <v>JHG63129</v>
          </cell>
          <cell r="I745">
            <v>46199</v>
          </cell>
          <cell r="J745" t="str">
            <v>26秋冬A类 报告260661531-1</v>
          </cell>
        </row>
        <row r="746">
          <cell r="H746" t="str">
            <v>JKG64023</v>
          </cell>
          <cell r="I746">
            <v>46199</v>
          </cell>
          <cell r="J746" t="str">
            <v>26秋冬A类 报告260661531-1</v>
          </cell>
        </row>
        <row r="747">
          <cell r="H747" t="str">
            <v>JKG65080</v>
          </cell>
          <cell r="I747">
            <v>46199</v>
          </cell>
          <cell r="J747" t="str">
            <v>26秋冬A类 报告260661531-1</v>
          </cell>
        </row>
        <row r="748">
          <cell r="H748" t="str">
            <v>JTG63945</v>
          </cell>
          <cell r="I748">
            <v>46199</v>
          </cell>
          <cell r="J748" t="str">
            <v>26秋冬A类 报告260661531-1</v>
          </cell>
        </row>
        <row r="749">
          <cell r="H749" t="str">
            <v>JXG65862</v>
          </cell>
          <cell r="I749">
            <v>46199</v>
          </cell>
          <cell r="J749" t="str">
            <v>26秋冬A类 报告260661531-1</v>
          </cell>
        </row>
        <row r="750">
          <cell r="H750" t="str">
            <v>JRB65868</v>
          </cell>
          <cell r="I750">
            <v>46199</v>
          </cell>
          <cell r="J750" t="str">
            <v>26秋冬A类 报告260661531-1</v>
          </cell>
        </row>
        <row r="751">
          <cell r="H751" t="str">
            <v>JXN53376</v>
          </cell>
          <cell r="I751">
            <v>46199</v>
          </cell>
          <cell r="J751" t="str">
            <v>26秋冬A类 报告260661531-1</v>
          </cell>
        </row>
        <row r="752">
          <cell r="H752" t="str">
            <v>JQG63085</v>
          </cell>
          <cell r="I752">
            <v>46204</v>
          </cell>
          <cell r="J752" t="str">
            <v>26秋冬A类报告260661531-2</v>
          </cell>
        </row>
        <row r="753">
          <cell r="H753" t="str">
            <v>JLG63820</v>
          </cell>
          <cell r="I753">
            <v>46204</v>
          </cell>
          <cell r="J753" t="str">
            <v>26秋冬A类报告260661531-2</v>
          </cell>
        </row>
        <row r="754">
          <cell r="H754" t="str">
            <v>JT92925K</v>
          </cell>
          <cell r="I754">
            <v>46215</v>
          </cell>
          <cell r="J754" t="str">
            <v>2026秋冬A类报告260661531-3</v>
          </cell>
        </row>
        <row r="755">
          <cell r="H755" t="str">
            <v>JDG32157H</v>
          </cell>
          <cell r="I755">
            <v>46215</v>
          </cell>
          <cell r="J755" t="str">
            <v>2026秋冬A类报告260661531-3</v>
          </cell>
        </row>
        <row r="756">
          <cell r="H756" t="str">
            <v>JKG62328</v>
          </cell>
          <cell r="I756">
            <v>46215</v>
          </cell>
          <cell r="J756" t="str">
            <v>2026秋冬A类报告260661531-3</v>
          </cell>
        </row>
        <row r="757">
          <cell r="H757" t="str">
            <v>JLG65617</v>
          </cell>
          <cell r="I757">
            <v>46215</v>
          </cell>
          <cell r="J757" t="str">
            <v>2026秋冬A类报告260661531-3</v>
          </cell>
        </row>
        <row r="758">
          <cell r="H758" t="str">
            <v>JJG65870</v>
          </cell>
          <cell r="I758">
            <v>46215</v>
          </cell>
          <cell r="J758" t="str">
            <v>2026秋冬A类报告260661531-3</v>
          </cell>
        </row>
        <row r="759">
          <cell r="H759" t="str">
            <v>JKN64892</v>
          </cell>
          <cell r="I759">
            <v>46215</v>
          </cell>
          <cell r="J759" t="str">
            <v>2026秋冬A类报告260661531-3</v>
          </cell>
        </row>
        <row r="760">
          <cell r="H760" t="str">
            <v>JNN65872</v>
          </cell>
          <cell r="I760">
            <v>46215</v>
          </cell>
          <cell r="J760" t="str">
            <v>2026秋冬A类报告260661531-3</v>
          </cell>
        </row>
        <row r="761">
          <cell r="H761" t="str">
            <v>JJN65873</v>
          </cell>
          <cell r="I761">
            <v>46215</v>
          </cell>
          <cell r="J761" t="str">
            <v>2026秋冬A类报告260661531-3</v>
          </cell>
        </row>
        <row r="762">
          <cell r="H762" t="str">
            <v>JKN65874</v>
          </cell>
          <cell r="I762">
            <v>46215</v>
          </cell>
          <cell r="J762" t="str">
            <v>2026秋冬A类报告260661531-3</v>
          </cell>
        </row>
        <row r="763">
          <cell r="H763" t="str">
            <v>JTG65876</v>
          </cell>
          <cell r="I763">
            <v>46215</v>
          </cell>
          <cell r="J763" t="str">
            <v>2026秋冬A类报告260661531-3</v>
          </cell>
        </row>
        <row r="764">
          <cell r="H764" t="str">
            <v>JHB65883</v>
          </cell>
          <cell r="I764">
            <v>46215</v>
          </cell>
          <cell r="J764" t="str">
            <v>2026秋冬A类报告260661531-3</v>
          </cell>
        </row>
        <row r="765">
          <cell r="H765" t="str">
            <v>JJN65884</v>
          </cell>
          <cell r="I765">
            <v>46215</v>
          </cell>
          <cell r="J765" t="str">
            <v>2026秋冬A类报告260661531-3</v>
          </cell>
        </row>
        <row r="766">
          <cell r="H766" t="str">
            <v>JJB64885</v>
          </cell>
          <cell r="I766">
            <v>46215</v>
          </cell>
          <cell r="J766" t="str">
            <v>2026秋冬A类报告260661531-3</v>
          </cell>
        </row>
        <row r="767">
          <cell r="H767" t="str">
            <v>JKG64881</v>
          </cell>
          <cell r="I767">
            <v>46215</v>
          </cell>
          <cell r="J767" t="str">
            <v>2026秋冬A类报告260661531-3</v>
          </cell>
        </row>
        <row r="768">
          <cell r="H768" t="str">
            <v>JJG64882</v>
          </cell>
          <cell r="I768">
            <v>46215</v>
          </cell>
          <cell r="J768" t="str">
            <v>2026秋冬A类报告260661531-3</v>
          </cell>
        </row>
        <row r="769">
          <cell r="H769" t="str">
            <v>JJB64883</v>
          </cell>
          <cell r="I769">
            <v>46215</v>
          </cell>
          <cell r="J769" t="str">
            <v>2026秋冬A类报告260661531-3</v>
          </cell>
        </row>
        <row r="770">
          <cell r="H770" t="str">
            <v>JHN64884</v>
          </cell>
          <cell r="I770">
            <v>46215</v>
          </cell>
          <cell r="J770" t="str">
            <v>2026秋冬A类报告260661531-3</v>
          </cell>
        </row>
        <row r="771">
          <cell r="H771" t="str">
            <v>JRG65665</v>
          </cell>
          <cell r="I771">
            <v>46215</v>
          </cell>
          <cell r="J771" t="str">
            <v>2026秋冬A类报告260661531-3</v>
          </cell>
        </row>
        <row r="772">
          <cell r="H772" t="str">
            <v>JRB65666</v>
          </cell>
          <cell r="I772">
            <v>46215</v>
          </cell>
          <cell r="J772" t="str">
            <v>2026秋冬A类报告260661531-3</v>
          </cell>
        </row>
        <row r="773">
          <cell r="H773" t="str">
            <v>JRN65667</v>
          </cell>
          <cell r="I773">
            <v>46215</v>
          </cell>
          <cell r="J773" t="str">
            <v>2026秋冬A类报告260661531-3</v>
          </cell>
        </row>
        <row r="774">
          <cell r="H774" t="str">
            <v>JJN64619</v>
          </cell>
          <cell r="I774">
            <v>46215</v>
          </cell>
          <cell r="J774" t="str">
            <v>2026秋冬A类报告260661531-3</v>
          </cell>
        </row>
        <row r="775">
          <cell r="H775" t="str">
            <v>JXB65670</v>
          </cell>
          <cell r="I775">
            <v>46215</v>
          </cell>
          <cell r="J775" t="str">
            <v>2026秋冬A类报告260661531-3</v>
          </cell>
        </row>
        <row r="776">
          <cell r="H776" t="str">
            <v>JXB65671</v>
          </cell>
          <cell r="I776">
            <v>46215</v>
          </cell>
          <cell r="J776" t="str">
            <v>2026秋冬A类报告260661531-3</v>
          </cell>
        </row>
        <row r="777">
          <cell r="H777" t="str">
            <v>JXN65672</v>
          </cell>
          <cell r="I777">
            <v>46215</v>
          </cell>
          <cell r="J777" t="str">
            <v>2026秋冬A类报告260661531-3</v>
          </cell>
        </row>
        <row r="778">
          <cell r="H778" t="str">
            <v>JXN65673</v>
          </cell>
          <cell r="I778">
            <v>46215</v>
          </cell>
          <cell r="J778" t="str">
            <v>2026秋冬A类报告260661531-3</v>
          </cell>
        </row>
        <row r="779">
          <cell r="H779" t="str">
            <v>JHG65674</v>
          </cell>
          <cell r="I779">
            <v>46215</v>
          </cell>
          <cell r="J779" t="str">
            <v>2026秋冬A类报告260661531-3</v>
          </cell>
        </row>
        <row r="780">
          <cell r="H780" t="str">
            <v>JDG65675</v>
          </cell>
          <cell r="I780">
            <v>46215</v>
          </cell>
          <cell r="J780" t="str">
            <v>2026秋冬A类报告260661531-3</v>
          </cell>
        </row>
        <row r="781">
          <cell r="H781" t="str">
            <v>JLB65677</v>
          </cell>
          <cell r="I781">
            <v>46215</v>
          </cell>
          <cell r="J781" t="str">
            <v>2026秋冬A类报告260661531-3</v>
          </cell>
        </row>
        <row r="782">
          <cell r="H782" t="str">
            <v>JKB65678</v>
          </cell>
          <cell r="I782">
            <v>46215</v>
          </cell>
          <cell r="J782" t="str">
            <v>2026秋冬A类报告260661531-3</v>
          </cell>
        </row>
        <row r="783">
          <cell r="H783" t="str">
            <v>JKN65679</v>
          </cell>
          <cell r="I783">
            <v>46215</v>
          </cell>
          <cell r="J783" t="str">
            <v>2026秋冬A类报告260661531-3</v>
          </cell>
        </row>
        <row r="784">
          <cell r="H784" t="str">
            <v>JTG65680</v>
          </cell>
          <cell r="I784">
            <v>46215</v>
          </cell>
          <cell r="J784" t="str">
            <v>2026秋冬A类报告260661531-3</v>
          </cell>
        </row>
        <row r="785">
          <cell r="H785" t="str">
            <v>JTB65681</v>
          </cell>
          <cell r="I785">
            <v>46215</v>
          </cell>
          <cell r="J785" t="str">
            <v>2026秋冬A类报告260661531-3</v>
          </cell>
        </row>
        <row r="786">
          <cell r="H786" t="str">
            <v>JHN64621</v>
          </cell>
          <cell r="I786">
            <v>46215</v>
          </cell>
          <cell r="J786" t="str">
            <v>2026秋冬A类报告260661531-3</v>
          </cell>
        </row>
        <row r="787">
          <cell r="H787" t="str">
            <v>JHN65552</v>
          </cell>
          <cell r="I787">
            <v>46215</v>
          </cell>
          <cell r="J787" t="str">
            <v>2026秋冬A类报告260661531-3</v>
          </cell>
        </row>
        <row r="788">
          <cell r="H788" t="str">
            <v>JHG65518</v>
          </cell>
          <cell r="I788">
            <v>46215</v>
          </cell>
          <cell r="J788" t="str">
            <v>2026秋冬A类报告260661531-3</v>
          </cell>
        </row>
        <row r="789">
          <cell r="H789" t="str">
            <v>JMG65578</v>
          </cell>
          <cell r="I789">
            <v>46215</v>
          </cell>
          <cell r="J789" t="str">
            <v>2026秋冬A类报告260661531-3</v>
          </cell>
        </row>
        <row r="790">
          <cell r="H790" t="str">
            <v>JMN63401</v>
          </cell>
          <cell r="I790">
            <v>46215</v>
          </cell>
          <cell r="J790" t="str">
            <v>2026秋冬A类报告260661531-3</v>
          </cell>
        </row>
        <row r="791">
          <cell r="H791" t="str">
            <v>JXN65594</v>
          </cell>
          <cell r="I791">
            <v>46215</v>
          </cell>
          <cell r="J791" t="str">
            <v>2026秋冬A类报告260661531-3</v>
          </cell>
        </row>
        <row r="792">
          <cell r="H792" t="str">
            <v>JXN65599</v>
          </cell>
          <cell r="I792">
            <v>46215</v>
          </cell>
          <cell r="J792" t="str">
            <v>2026秋冬A类报告260661531-3</v>
          </cell>
        </row>
        <row r="793">
          <cell r="H793" t="str">
            <v>JXN65450</v>
          </cell>
          <cell r="I793">
            <v>46215</v>
          </cell>
          <cell r="J793" t="str">
            <v>2026秋冬A类报告260661531-3</v>
          </cell>
        </row>
        <row r="794">
          <cell r="H794" t="str">
            <v>JGN65451</v>
          </cell>
          <cell r="I794">
            <v>46215</v>
          </cell>
          <cell r="J794" t="str">
            <v>2026秋冬A类报告260661531-3</v>
          </cell>
        </row>
        <row r="795">
          <cell r="H795" t="str">
            <v>JGN65452</v>
          </cell>
          <cell r="I795">
            <v>46215</v>
          </cell>
          <cell r="J795" t="str">
            <v>2026秋冬A类报告260661531-3</v>
          </cell>
        </row>
        <row r="796">
          <cell r="H796" t="str">
            <v>JQG65455</v>
          </cell>
          <cell r="I796">
            <v>46215</v>
          </cell>
          <cell r="J796" t="str">
            <v>2026秋冬A类报告260661531-3</v>
          </cell>
        </row>
        <row r="797">
          <cell r="H797" t="str">
            <v>JXN65456</v>
          </cell>
          <cell r="I797">
            <v>46215</v>
          </cell>
          <cell r="J797" t="str">
            <v>2026秋冬A类报告260661531-3</v>
          </cell>
        </row>
        <row r="798">
          <cell r="H798" t="str">
            <v>JJN65458</v>
          </cell>
          <cell r="I798">
            <v>46215</v>
          </cell>
          <cell r="J798" t="str">
            <v>2026秋冬A类报告260661531-3</v>
          </cell>
        </row>
        <row r="799">
          <cell r="H799" t="str">
            <v>JJG65471</v>
          </cell>
          <cell r="I799">
            <v>46215</v>
          </cell>
          <cell r="J799" t="str">
            <v>2026秋冬A类报告260661531-3</v>
          </cell>
        </row>
        <row r="800">
          <cell r="H800" t="str">
            <v>JTG64525</v>
          </cell>
          <cell r="I800">
            <v>46215</v>
          </cell>
          <cell r="J800" t="str">
            <v>2026秋冬A类报告260661531-3</v>
          </cell>
        </row>
        <row r="801">
          <cell r="H801" t="str">
            <v>JLG65461</v>
          </cell>
          <cell r="I801">
            <v>46215</v>
          </cell>
          <cell r="J801" t="str">
            <v>2026秋冬A类报告260661531-3</v>
          </cell>
        </row>
        <row r="802">
          <cell r="H802" t="str">
            <v>JLG65462</v>
          </cell>
          <cell r="I802">
            <v>46215</v>
          </cell>
          <cell r="J802" t="str">
            <v>2026秋冬A类报告260661531-3</v>
          </cell>
        </row>
        <row r="803">
          <cell r="H803" t="str">
            <v>JKN65463</v>
          </cell>
          <cell r="I803">
            <v>46215</v>
          </cell>
          <cell r="J803" t="str">
            <v>2026秋冬A类报告260661531-3</v>
          </cell>
        </row>
        <row r="804">
          <cell r="H804" t="str">
            <v>JTG65092</v>
          </cell>
          <cell r="I804">
            <v>46215</v>
          </cell>
          <cell r="J804" t="str">
            <v>2026秋冬A类报告260661531-3</v>
          </cell>
        </row>
        <row r="805">
          <cell r="H805" t="str">
            <v>JXG65093</v>
          </cell>
          <cell r="I805">
            <v>46215</v>
          </cell>
          <cell r="J805" t="str">
            <v>2026秋冬A类报告260661531-3</v>
          </cell>
        </row>
        <row r="806">
          <cell r="H806" t="str">
            <v>JKN65094</v>
          </cell>
          <cell r="I806">
            <v>46215</v>
          </cell>
          <cell r="J806" t="str">
            <v>2026秋冬A类报告260661531-3</v>
          </cell>
        </row>
        <row r="807">
          <cell r="H807" t="str">
            <v>JKG65095</v>
          </cell>
          <cell r="I807">
            <v>46215</v>
          </cell>
          <cell r="J807" t="str">
            <v>2026秋冬A类报告260661531-3</v>
          </cell>
        </row>
        <row r="808">
          <cell r="H808" t="str">
            <v>JLG65096</v>
          </cell>
          <cell r="I808">
            <v>46215</v>
          </cell>
          <cell r="J808" t="str">
            <v>2026秋冬A类报告260661531-3</v>
          </cell>
        </row>
        <row r="809">
          <cell r="H809" t="str">
            <v>JDG65097</v>
          </cell>
          <cell r="I809">
            <v>46215</v>
          </cell>
          <cell r="J809" t="str">
            <v>2026秋冬A类报告260661531-3</v>
          </cell>
        </row>
        <row r="810">
          <cell r="H810" t="str">
            <v>JXG65098</v>
          </cell>
          <cell r="I810">
            <v>46215</v>
          </cell>
          <cell r="J810" t="str">
            <v>2026秋冬A类报告260661531-3</v>
          </cell>
        </row>
        <row r="811">
          <cell r="H811" t="str">
            <v>JHG65102</v>
          </cell>
          <cell r="I811">
            <v>46215</v>
          </cell>
          <cell r="J811" t="str">
            <v>2026秋冬A类报告260661531-3</v>
          </cell>
        </row>
        <row r="812">
          <cell r="H812" t="str">
            <v>JHG64031</v>
          </cell>
          <cell r="I812">
            <v>46215</v>
          </cell>
          <cell r="J812" t="str">
            <v>2026秋冬A类报告260661531-3</v>
          </cell>
        </row>
        <row r="813">
          <cell r="H813" t="str">
            <v>JHG64028</v>
          </cell>
          <cell r="I813">
            <v>46215</v>
          </cell>
          <cell r="J813" t="str">
            <v>2026秋冬A类报告260661531-3</v>
          </cell>
        </row>
        <row r="814">
          <cell r="H814" t="str">
            <v>JHG64033</v>
          </cell>
          <cell r="I814">
            <v>46215</v>
          </cell>
          <cell r="J814" t="str">
            <v>2026秋冬A类报告260661531-3</v>
          </cell>
        </row>
        <row r="815">
          <cell r="H815" t="str">
            <v>JKG64094</v>
          </cell>
          <cell r="I815">
            <v>46215</v>
          </cell>
          <cell r="J815" t="str">
            <v>2026秋冬A类报告260661531-3</v>
          </cell>
        </row>
        <row r="816">
          <cell r="H816" t="str">
            <v>JJB64025</v>
          </cell>
          <cell r="I816">
            <v>46215</v>
          </cell>
          <cell r="J816" t="str">
            <v>2026秋冬A类报告260661531-3</v>
          </cell>
        </row>
        <row r="817">
          <cell r="H817" t="str">
            <v>JKN64026</v>
          </cell>
          <cell r="I817">
            <v>46215</v>
          </cell>
          <cell r="J817" t="str">
            <v>2026秋冬A类报告260661531-3</v>
          </cell>
        </row>
        <row r="818">
          <cell r="H818" t="str">
            <v>JMN65046</v>
          </cell>
          <cell r="I818">
            <v>46215</v>
          </cell>
          <cell r="J818" t="str">
            <v>2026秋冬A类报告260661531-3</v>
          </cell>
        </row>
        <row r="819">
          <cell r="H819" t="str">
            <v>JMG65025</v>
          </cell>
          <cell r="I819">
            <v>46215</v>
          </cell>
          <cell r="J819" t="str">
            <v>2026秋冬A类报告260661531-3</v>
          </cell>
        </row>
        <row r="820">
          <cell r="H820" t="str">
            <v>JMG65012</v>
          </cell>
          <cell r="I820">
            <v>46215</v>
          </cell>
          <cell r="J820" t="str">
            <v>2026秋冬A类报告260661531-3</v>
          </cell>
        </row>
        <row r="821">
          <cell r="H821" t="str">
            <v>JDG65683</v>
          </cell>
          <cell r="I821">
            <v>46215</v>
          </cell>
          <cell r="J821" t="str">
            <v>2026秋冬A类报告260661531-3</v>
          </cell>
        </row>
        <row r="822">
          <cell r="H822" t="str">
            <v>JKN65684</v>
          </cell>
          <cell r="I822">
            <v>46215</v>
          </cell>
          <cell r="J822" t="str">
            <v>2026秋冬A类报告260661531-3</v>
          </cell>
        </row>
        <row r="823">
          <cell r="H823" t="str">
            <v>JKN65686</v>
          </cell>
          <cell r="I823">
            <v>46215</v>
          </cell>
          <cell r="J823" t="str">
            <v>2026秋冬A类报告260661531-3</v>
          </cell>
        </row>
        <row r="824">
          <cell r="H824" t="str">
            <v>JKG65691</v>
          </cell>
          <cell r="I824">
            <v>46215</v>
          </cell>
          <cell r="J824" t="str">
            <v>2026秋冬A类报告260661531-3</v>
          </cell>
        </row>
        <row r="825">
          <cell r="H825" t="str">
            <v>JKN64624</v>
          </cell>
          <cell r="I825">
            <v>46215</v>
          </cell>
          <cell r="J825" t="str">
            <v>2026秋冬A类报告260661531-3</v>
          </cell>
        </row>
        <row r="826">
          <cell r="H826" t="str">
            <v>JKN65687</v>
          </cell>
          <cell r="I826">
            <v>46215</v>
          </cell>
          <cell r="J826" t="str">
            <v>2026秋冬A类报告260661531-3</v>
          </cell>
        </row>
        <row r="827">
          <cell r="H827" t="str">
            <v>JKG64626</v>
          </cell>
          <cell r="I827">
            <v>46215</v>
          </cell>
          <cell r="J827" t="str">
            <v>2026秋冬A类报告260661531-3</v>
          </cell>
        </row>
        <row r="828">
          <cell r="H828" t="str">
            <v>JHG64627</v>
          </cell>
          <cell r="I828">
            <v>46215</v>
          </cell>
          <cell r="J828" t="str">
            <v>2026秋冬A类报告260661531-3</v>
          </cell>
        </row>
        <row r="829">
          <cell r="H829" t="str">
            <v>JDG64029</v>
          </cell>
          <cell r="I829">
            <v>46215</v>
          </cell>
          <cell r="J829" t="str">
            <v>2026秋冬A类报告260661531-3</v>
          </cell>
        </row>
        <row r="830">
          <cell r="H830" t="str">
            <v>JKG64030</v>
          </cell>
          <cell r="I830">
            <v>46215</v>
          </cell>
          <cell r="J830" t="str">
            <v>2026秋冬A类报告260661531-3</v>
          </cell>
        </row>
        <row r="831">
          <cell r="H831" t="str">
            <v>JXG65109</v>
          </cell>
          <cell r="I831">
            <v>46215</v>
          </cell>
          <cell r="J831" t="str">
            <v>2026秋冬A类报告260661531-3</v>
          </cell>
        </row>
        <row r="832">
          <cell r="H832" t="str">
            <v>JLG65111</v>
          </cell>
          <cell r="I832">
            <v>46215</v>
          </cell>
          <cell r="J832" t="str">
            <v>2026秋冬A类报告260661531-3</v>
          </cell>
        </row>
        <row r="833">
          <cell r="H833" t="str">
            <v>JDG65112</v>
          </cell>
          <cell r="I833">
            <v>46215</v>
          </cell>
          <cell r="J833" t="str">
            <v>2026秋冬A类报告260661531-3</v>
          </cell>
        </row>
        <row r="834">
          <cell r="H834" t="str">
            <v>JNN65113</v>
          </cell>
          <cell r="I834">
            <v>46215</v>
          </cell>
          <cell r="J834" t="str">
            <v>2026秋冬A类报告260661531-3</v>
          </cell>
        </row>
        <row r="835">
          <cell r="H835" t="str">
            <v>JHN65114</v>
          </cell>
          <cell r="I835">
            <v>46215</v>
          </cell>
          <cell r="J835" t="str">
            <v>2026秋冬A类报告260661531-3</v>
          </cell>
        </row>
        <row r="836">
          <cell r="H836" t="str">
            <v>JMB65052</v>
          </cell>
          <cell r="I836">
            <v>46215</v>
          </cell>
          <cell r="J836" t="str">
            <v>2026秋冬A类报告260661531-3</v>
          </cell>
        </row>
        <row r="837">
          <cell r="H837" t="str">
            <v>JMG65058</v>
          </cell>
          <cell r="I837">
            <v>46215</v>
          </cell>
          <cell r="J837" t="str">
            <v>2026秋冬A类报告260661531-3</v>
          </cell>
        </row>
        <row r="838">
          <cell r="H838" t="str">
            <v>JNN65885</v>
          </cell>
          <cell r="I838">
            <v>46215</v>
          </cell>
          <cell r="J838" t="str">
            <v>2026秋冬A类报告260661531-3</v>
          </cell>
        </row>
        <row r="839">
          <cell r="H839" t="str">
            <v>JRN65887</v>
          </cell>
          <cell r="I839">
            <v>46215</v>
          </cell>
          <cell r="J839" t="str">
            <v>2026秋冬A类报告260661531-3</v>
          </cell>
        </row>
        <row r="840">
          <cell r="H840" t="str">
            <v>JTB65888</v>
          </cell>
          <cell r="I840">
            <v>46215</v>
          </cell>
          <cell r="J840" t="str">
            <v>2026秋冬A类报告260661531-3</v>
          </cell>
        </row>
        <row r="841">
          <cell r="H841" t="str">
            <v>JXN65889</v>
          </cell>
          <cell r="I841">
            <v>46215</v>
          </cell>
          <cell r="J841" t="str">
            <v>2026秋冬A类报告260661531-3</v>
          </cell>
        </row>
        <row r="842">
          <cell r="H842" t="str">
            <v>JRB65890</v>
          </cell>
          <cell r="I842">
            <v>46215</v>
          </cell>
          <cell r="J842" t="str">
            <v>2026秋冬A类报告260661531-3</v>
          </cell>
        </row>
        <row r="843">
          <cell r="H843" t="str">
            <v>JHG64888</v>
          </cell>
          <cell r="I843">
            <v>46215</v>
          </cell>
          <cell r="J843" t="str">
            <v>2026秋冬A类报告260661531-3</v>
          </cell>
        </row>
        <row r="844">
          <cell r="H844" t="str">
            <v>JAN64890</v>
          </cell>
          <cell r="I844">
            <v>46215</v>
          </cell>
          <cell r="J844" t="str">
            <v>2026秋冬A类报告260661531-3</v>
          </cell>
        </row>
        <row r="845">
          <cell r="H845" t="str">
            <v>JAG64891</v>
          </cell>
          <cell r="I845">
            <v>46215</v>
          </cell>
          <cell r="J845" t="str">
            <v>2026秋冬A类报告260661531-3</v>
          </cell>
        </row>
        <row r="846">
          <cell r="H846" t="str">
            <v>JYN64263</v>
          </cell>
          <cell r="I846">
            <v>46215</v>
          </cell>
          <cell r="J846" t="str">
            <v>2026秋冬A类报告260661531-3</v>
          </cell>
        </row>
        <row r="847">
          <cell r="H847" t="str">
            <v>JXN65477A</v>
          </cell>
          <cell r="I847">
            <v>46215</v>
          </cell>
          <cell r="J847" t="str">
            <v>2026秋冬A类报告260661531-3</v>
          </cell>
        </row>
        <row r="848">
          <cell r="H848" t="str">
            <v>JXG65476</v>
          </cell>
          <cell r="I848">
            <v>46215</v>
          </cell>
          <cell r="J848" t="str">
            <v>2026秋冬A类报告260661531-3</v>
          </cell>
        </row>
        <row r="849">
          <cell r="H849" t="str">
            <v>JXG64528</v>
          </cell>
          <cell r="I849">
            <v>46215</v>
          </cell>
          <cell r="J849" t="str">
            <v>2026秋冬A类报告260661531-3</v>
          </cell>
        </row>
        <row r="850">
          <cell r="H850" t="str">
            <v>JXN65475</v>
          </cell>
          <cell r="I850">
            <v>46215</v>
          </cell>
          <cell r="J850" t="str">
            <v>2026秋冬A类报告260661531-3</v>
          </cell>
        </row>
        <row r="851">
          <cell r="H851" t="str">
            <v>JZN65474</v>
          </cell>
          <cell r="I851">
            <v>46215</v>
          </cell>
          <cell r="J851" t="str">
            <v>2026秋冬A类报告260661531-3</v>
          </cell>
        </row>
        <row r="852">
          <cell r="H852" t="str">
            <v>JKG65478</v>
          </cell>
          <cell r="I852">
            <v>46215</v>
          </cell>
          <cell r="J852" t="str">
            <v>2026秋冬A类报告260661531-3</v>
          </cell>
        </row>
        <row r="853">
          <cell r="H853" t="str">
            <v>JKB64526</v>
          </cell>
          <cell r="I853">
            <v>46215</v>
          </cell>
          <cell r="J853" t="str">
            <v>2026秋冬A类报告260661531-3</v>
          </cell>
        </row>
        <row r="854">
          <cell r="H854" t="str">
            <v>JKB65473</v>
          </cell>
          <cell r="I854">
            <v>46215</v>
          </cell>
          <cell r="J854" t="str">
            <v>2026秋冬A类报告260661531-3</v>
          </cell>
        </row>
        <row r="855">
          <cell r="H855" t="str">
            <v>JKB65472</v>
          </cell>
          <cell r="I855">
            <v>46215</v>
          </cell>
          <cell r="J855" t="str">
            <v>2026秋冬A类报告260661531-3</v>
          </cell>
        </row>
        <row r="856">
          <cell r="H856" t="str">
            <v>JKN65480A</v>
          </cell>
          <cell r="I856">
            <v>46215</v>
          </cell>
          <cell r="J856" t="str">
            <v>2026秋冬A类报告260661531-3</v>
          </cell>
        </row>
        <row r="857">
          <cell r="H857" t="str">
            <v>JJG64009</v>
          </cell>
          <cell r="I857">
            <v>46226</v>
          </cell>
          <cell r="J857" t="str">
            <v>A类检测报告260773967</v>
          </cell>
        </row>
        <row r="858">
          <cell r="H858" t="str">
            <v>JTN63948</v>
          </cell>
          <cell r="I858">
            <v>46226</v>
          </cell>
          <cell r="J858" t="str">
            <v>A类检测报告260773967</v>
          </cell>
        </row>
        <row r="859">
          <cell r="H859" t="str">
            <v>JXN65847A</v>
          </cell>
          <cell r="I859">
            <v>46226</v>
          </cell>
          <cell r="J859" t="str">
            <v>A类检测报告260773967</v>
          </cell>
        </row>
        <row r="860">
          <cell r="H860" t="str">
            <v>JRG63947</v>
          </cell>
          <cell r="I860">
            <v>46226</v>
          </cell>
          <cell r="J860" t="str">
            <v>A类检测报告260773967</v>
          </cell>
        </row>
        <row r="861">
          <cell r="H861" t="str">
            <v>JKG64617</v>
          </cell>
          <cell r="I861">
            <v>46226</v>
          </cell>
          <cell r="J861" t="str">
            <v>A类检测报告260773967</v>
          </cell>
        </row>
        <row r="862">
          <cell r="H862" t="str">
            <v>JAB64615</v>
          </cell>
          <cell r="I862">
            <v>46226</v>
          </cell>
          <cell r="J862" t="str">
            <v>A类检测报告260773967</v>
          </cell>
        </row>
        <row r="863">
          <cell r="H863" t="str">
            <v>JXN65655</v>
          </cell>
          <cell r="I863">
            <v>46226</v>
          </cell>
          <cell r="J863" t="str">
            <v>A类检测报告260773967</v>
          </cell>
        </row>
        <row r="864">
          <cell r="H864" t="str">
            <v>JQG63130</v>
          </cell>
          <cell r="I864">
            <v>46226</v>
          </cell>
          <cell r="J864" t="str">
            <v>A类检测报告260773967</v>
          </cell>
        </row>
        <row r="865">
          <cell r="H865" t="str">
            <v>JZN65495</v>
          </cell>
          <cell r="I865">
            <v>46226</v>
          </cell>
          <cell r="J865" t="str">
            <v>A类检测报告260773967</v>
          </cell>
        </row>
        <row r="866">
          <cell r="H866" t="str">
            <v>JXG65690</v>
          </cell>
          <cell r="I866">
            <v>46226</v>
          </cell>
          <cell r="J866" t="str">
            <v>A类检测报告260773967</v>
          </cell>
        </row>
        <row r="867">
          <cell r="H867" t="str">
            <v>JRB65688</v>
          </cell>
          <cell r="I867">
            <v>46226</v>
          </cell>
          <cell r="J867" t="str">
            <v>A类检测报告260773967</v>
          </cell>
        </row>
        <row r="868">
          <cell r="H868" t="str">
            <v>JHN65689</v>
          </cell>
          <cell r="I868">
            <v>46226</v>
          </cell>
          <cell r="J868" t="str">
            <v>A类检测报告260773967</v>
          </cell>
        </row>
        <row r="869">
          <cell r="H869" t="str">
            <v>JMB65054</v>
          </cell>
          <cell r="I869">
            <v>46226</v>
          </cell>
          <cell r="J869" t="str">
            <v>A类检测报告260773967</v>
          </cell>
        </row>
        <row r="870">
          <cell r="H870" t="str">
            <v>JGN65116</v>
          </cell>
          <cell r="I870">
            <v>46226</v>
          </cell>
          <cell r="J870" t="str">
            <v>A类检测报告260773967</v>
          </cell>
        </row>
        <row r="871">
          <cell r="H871" t="str">
            <v>JHN64034</v>
          </cell>
          <cell r="I871">
            <v>46226</v>
          </cell>
          <cell r="J871" t="str">
            <v>A类检测报告260773967</v>
          </cell>
        </row>
        <row r="872">
          <cell r="H872" t="str">
            <v>JTG65118</v>
          </cell>
          <cell r="I872">
            <v>46226</v>
          </cell>
          <cell r="J872" t="str">
            <v>A类检测报告260773967</v>
          </cell>
        </row>
        <row r="873">
          <cell r="H873" t="str">
            <v>JDG65120</v>
          </cell>
          <cell r="I873">
            <v>46226</v>
          </cell>
          <cell r="J873" t="str">
            <v>A类检测报告260773967</v>
          </cell>
        </row>
        <row r="874">
          <cell r="H874" t="str">
            <v>JAB64530</v>
          </cell>
          <cell r="I874">
            <v>46226</v>
          </cell>
          <cell r="J874" t="str">
            <v>A类检测报告260773967</v>
          </cell>
        </row>
        <row r="875">
          <cell r="H875" t="str">
            <v>JTB65482</v>
          </cell>
          <cell r="I875">
            <v>46226</v>
          </cell>
          <cell r="J875" t="str">
            <v>A类检测报告260773967</v>
          </cell>
        </row>
        <row r="876">
          <cell r="H876" t="str">
            <v>JJN64550</v>
          </cell>
          <cell r="I876">
            <v>46226</v>
          </cell>
          <cell r="J876" t="str">
            <v>A类检测报告260773967</v>
          </cell>
        </row>
        <row r="877">
          <cell r="H877" t="str">
            <v>JHB65598</v>
          </cell>
          <cell r="I877">
            <v>46226</v>
          </cell>
          <cell r="J877" t="str">
            <v>A类检测报告260773967</v>
          </cell>
        </row>
        <row r="878">
          <cell r="H878" t="str">
            <v>JHN65529</v>
          </cell>
          <cell r="I878">
            <v>46226</v>
          </cell>
          <cell r="J878" t="str">
            <v>A类检测报告260773967</v>
          </cell>
        </row>
        <row r="879">
          <cell r="H879" t="str">
            <v>JMN65553</v>
          </cell>
          <cell r="I879">
            <v>46226</v>
          </cell>
          <cell r="J879" t="str">
            <v>A类检测报告260773967</v>
          </cell>
        </row>
        <row r="880">
          <cell r="H880" t="str">
            <v>JMG65554</v>
          </cell>
          <cell r="I880">
            <v>46226</v>
          </cell>
          <cell r="J880" t="str">
            <v>A类检测报告260773967</v>
          </cell>
        </row>
        <row r="881">
          <cell r="H881" t="str">
            <v>JMB65588</v>
          </cell>
          <cell r="I881">
            <v>46226</v>
          </cell>
          <cell r="J881" t="str">
            <v>A类检测报告260773967</v>
          </cell>
        </row>
        <row r="882">
          <cell r="H882" t="str">
            <v>JMG65050</v>
          </cell>
          <cell r="I882">
            <v>46226</v>
          </cell>
          <cell r="J882" t="str">
            <v>A类检测报告260773967</v>
          </cell>
        </row>
        <row r="883">
          <cell r="H883" t="str">
            <v>JHG64038</v>
          </cell>
          <cell r="I883">
            <v>46226</v>
          </cell>
          <cell r="J883" t="str">
            <v>A类检测报告260773967</v>
          </cell>
        </row>
        <row r="884">
          <cell r="H884" t="str">
            <v>JHG65124</v>
          </cell>
          <cell r="I884">
            <v>46226</v>
          </cell>
          <cell r="J884" t="str">
            <v>A类检测报告260773967</v>
          </cell>
        </row>
        <row r="885">
          <cell r="H885" t="str">
            <v>JQG65128</v>
          </cell>
          <cell r="I885">
            <v>46226</v>
          </cell>
          <cell r="J885" t="str">
            <v>A类检测报告260773967</v>
          </cell>
        </row>
        <row r="886">
          <cell r="H886" t="str">
            <v>JKN65129</v>
          </cell>
          <cell r="I886">
            <v>46226</v>
          </cell>
          <cell r="J886" t="str">
            <v>A类检测报告260773967</v>
          </cell>
        </row>
        <row r="887">
          <cell r="H887" t="str">
            <v>JQG65130</v>
          </cell>
          <cell r="I887">
            <v>46226</v>
          </cell>
          <cell r="J887" t="str">
            <v>A类检测报告260773967</v>
          </cell>
        </row>
        <row r="888">
          <cell r="H888" t="str">
            <v>JZN64039</v>
          </cell>
          <cell r="I888">
            <v>46226</v>
          </cell>
          <cell r="J888" t="str">
            <v>A类检测报告260773967</v>
          </cell>
        </row>
        <row r="889">
          <cell r="H889" t="str">
            <v>JZN64036</v>
          </cell>
          <cell r="I889">
            <v>46226</v>
          </cell>
          <cell r="J889" t="str">
            <v>A类检测报告260773967</v>
          </cell>
        </row>
        <row r="890">
          <cell r="H890" t="str">
            <v>JKN64037</v>
          </cell>
          <cell r="I890">
            <v>46226</v>
          </cell>
          <cell r="J890" t="str">
            <v>A类检测报告260773967</v>
          </cell>
        </row>
        <row r="891">
          <cell r="H891" t="str">
            <v>JEG65692</v>
          </cell>
          <cell r="I891">
            <v>46226</v>
          </cell>
          <cell r="J891" t="str">
            <v>A类检测报告260773967</v>
          </cell>
        </row>
        <row r="892">
          <cell r="H892" t="str">
            <v>JEN64640</v>
          </cell>
          <cell r="I892">
            <v>46226</v>
          </cell>
          <cell r="J892" t="str">
            <v>A类检测报告260773967</v>
          </cell>
        </row>
        <row r="893">
          <cell r="H893" t="str">
            <v>JKN65694</v>
          </cell>
          <cell r="I893">
            <v>46226</v>
          </cell>
          <cell r="J893" t="str">
            <v>A类检测报告260773967</v>
          </cell>
        </row>
        <row r="894">
          <cell r="H894" t="str">
            <v>JMN65633</v>
          </cell>
          <cell r="I894">
            <v>46226</v>
          </cell>
          <cell r="J894" t="str">
            <v>A类检测报告260773967</v>
          </cell>
        </row>
        <row r="895">
          <cell r="H895" t="str">
            <v>JEG64899</v>
          </cell>
          <cell r="I895">
            <v>46226</v>
          </cell>
          <cell r="J895" t="str">
            <v>A类检测报告260773967</v>
          </cell>
        </row>
        <row r="896">
          <cell r="H896" t="str">
            <v>JGG64904</v>
          </cell>
          <cell r="I896">
            <v>46226</v>
          </cell>
          <cell r="J896" t="str">
            <v>A类检测报告260773967</v>
          </cell>
        </row>
        <row r="897">
          <cell r="H897" t="str">
            <v>JEN64898</v>
          </cell>
          <cell r="I897">
            <v>46226</v>
          </cell>
          <cell r="J897" t="str">
            <v>A类检测报告260773967</v>
          </cell>
        </row>
        <row r="898">
          <cell r="H898" t="str">
            <v>JHG65530</v>
          </cell>
          <cell r="I898">
            <v>46226</v>
          </cell>
          <cell r="J898" t="str">
            <v>A类检测报告260773967</v>
          </cell>
        </row>
        <row r="899">
          <cell r="H899" t="str">
            <v>JHB65531</v>
          </cell>
          <cell r="I899">
            <v>46226</v>
          </cell>
          <cell r="J899" t="str">
            <v>A类检测报告260773967</v>
          </cell>
        </row>
        <row r="900">
          <cell r="H900" t="str">
            <v>JMB65580</v>
          </cell>
          <cell r="I900">
            <v>46226</v>
          </cell>
          <cell r="J900" t="str">
            <v>A类检测报告260773967</v>
          </cell>
        </row>
        <row r="901">
          <cell r="H901" t="str">
            <v>JMN65597</v>
          </cell>
          <cell r="I901">
            <v>46226</v>
          </cell>
          <cell r="J901" t="str">
            <v>A类检测报告260773967</v>
          </cell>
        </row>
        <row r="902">
          <cell r="H902" t="str">
            <v>JTN65483</v>
          </cell>
          <cell r="I902">
            <v>46226</v>
          </cell>
          <cell r="J902" t="str">
            <v>A类检测报告260773967</v>
          </cell>
        </row>
        <row r="903">
          <cell r="H903" t="str">
            <v>JHG64531</v>
          </cell>
          <cell r="I903">
            <v>46226</v>
          </cell>
          <cell r="J903" t="str">
            <v>A类检测报告260773967</v>
          </cell>
        </row>
        <row r="904">
          <cell r="H904" t="str">
            <v>JJG65487</v>
          </cell>
          <cell r="I904">
            <v>46226</v>
          </cell>
          <cell r="J904" t="str">
            <v>A类检测报告260773967</v>
          </cell>
        </row>
        <row r="905">
          <cell r="H905" t="str">
            <v>JRG65489</v>
          </cell>
          <cell r="I905">
            <v>46226</v>
          </cell>
          <cell r="J905" t="str">
            <v>A类检测报告260773967</v>
          </cell>
        </row>
        <row r="906">
          <cell r="H906" t="str">
            <v>JKG65491</v>
          </cell>
          <cell r="I906">
            <v>46226</v>
          </cell>
          <cell r="J906" t="str">
            <v>A类检测报告260773967</v>
          </cell>
        </row>
        <row r="907">
          <cell r="H907" t="str">
            <v>JKG65492</v>
          </cell>
          <cell r="I907">
            <v>46226</v>
          </cell>
          <cell r="J907" t="str">
            <v>A类检测报告260773967</v>
          </cell>
        </row>
        <row r="908">
          <cell r="H908" t="str">
            <v>JJG63456</v>
          </cell>
          <cell r="I908">
            <v>46226</v>
          </cell>
          <cell r="J908" t="str">
            <v>A类检测报告260773967</v>
          </cell>
        </row>
      </sheetData>
      <sheetData sheetId="16">
        <row r="2">
          <cell r="A2" t="str">
            <v>商品下单信息</v>
          </cell>
        </row>
        <row r="3">
          <cell r="A3" t="str">
            <v>商品填写</v>
          </cell>
        </row>
        <row r="4">
          <cell r="A4" t="str">
            <v>款号批次</v>
          </cell>
        </row>
        <row r="5">
          <cell r="A5" t="str">
            <v>JTG61744-1</v>
          </cell>
        </row>
        <row r="6">
          <cell r="A6" t="str">
            <v>JCG23802H-22</v>
          </cell>
        </row>
        <row r="7">
          <cell r="A7" t="str">
            <v>JTG62084-2</v>
          </cell>
        </row>
        <row r="8">
          <cell r="A8" t="str">
            <v>JXG51525-17</v>
          </cell>
        </row>
        <row r="9">
          <cell r="A9" t="str">
            <v>JJG53733-7</v>
          </cell>
        </row>
        <row r="10">
          <cell r="A10" t="str">
            <v>JJN62891-4</v>
          </cell>
        </row>
        <row r="11">
          <cell r="A11" t="str">
            <v>JXG52713-16</v>
          </cell>
        </row>
        <row r="12">
          <cell r="A12" t="str">
            <v>JCG23804J-20</v>
          </cell>
        </row>
        <row r="13">
          <cell r="A13" t="str">
            <v>JJN62816-14</v>
          </cell>
        </row>
        <row r="14">
          <cell r="A14" t="str">
            <v>JKG63038</v>
          </cell>
        </row>
        <row r="15">
          <cell r="A15" t="str">
            <v>JJN62816-15</v>
          </cell>
        </row>
        <row r="16">
          <cell r="A16" t="str">
            <v>JTG63483</v>
          </cell>
        </row>
        <row r="17">
          <cell r="A17" t="str">
            <v>JKG62786-3</v>
          </cell>
        </row>
        <row r="18">
          <cell r="A18" t="str">
            <v>JJN63845</v>
          </cell>
        </row>
        <row r="19">
          <cell r="A19" t="str">
            <v>JXG51555G-5</v>
          </cell>
        </row>
        <row r="20">
          <cell r="A20" t="str">
            <v>JQG52927-8</v>
          </cell>
        </row>
        <row r="21">
          <cell r="A21" t="str">
            <v>JTG61102</v>
          </cell>
        </row>
        <row r="22">
          <cell r="A22" t="str">
            <v>JXG62271</v>
          </cell>
        </row>
        <row r="23">
          <cell r="A23" t="str">
            <v>JJN65826</v>
          </cell>
        </row>
        <row r="24">
          <cell r="A24" t="str">
            <v>JKG52682-5</v>
          </cell>
        </row>
        <row r="25">
          <cell r="A25" t="str">
            <v>JJG55918-6</v>
          </cell>
        </row>
        <row r="26">
          <cell r="A26" t="str">
            <v>JKG52085-13</v>
          </cell>
        </row>
        <row r="27">
          <cell r="A27" t="str">
            <v>JRG61020-3</v>
          </cell>
        </row>
        <row r="28">
          <cell r="A28" t="str">
            <v>JKG52085-14</v>
          </cell>
        </row>
        <row r="29">
          <cell r="A29" t="str">
            <v>JHG63528</v>
          </cell>
        </row>
        <row r="30">
          <cell r="A30" t="str">
            <v>JTN63488</v>
          </cell>
        </row>
        <row r="31">
          <cell r="A31" t="str">
            <v>JSB52904G-10</v>
          </cell>
        </row>
        <row r="32">
          <cell r="A32" t="str">
            <v>JXG63446</v>
          </cell>
        </row>
        <row r="33">
          <cell r="A33" t="str">
            <v>JCG63943</v>
          </cell>
        </row>
        <row r="34">
          <cell r="A34" t="str">
            <v>JXG51755G-12</v>
          </cell>
        </row>
        <row r="35">
          <cell r="A35" t="str">
            <v>JTG53785-5</v>
          </cell>
        </row>
        <row r="36">
          <cell r="A36" t="str">
            <v>JJN51595-11</v>
          </cell>
        </row>
        <row r="37">
          <cell r="A37" t="str">
            <v>JTG61102-1</v>
          </cell>
        </row>
        <row r="38">
          <cell r="A38" t="str">
            <v>JKN53907-9</v>
          </cell>
        </row>
        <row r="39">
          <cell r="A39" t="str">
            <v>JAG44722G-4</v>
          </cell>
        </row>
        <row r="40">
          <cell r="A40" t="str">
            <v>JAG54827-3</v>
          </cell>
        </row>
        <row r="41">
          <cell r="A41" t="str">
            <v>JTG62590-5</v>
          </cell>
        </row>
        <row r="42">
          <cell r="A42" t="str">
            <v>JJG55732-2</v>
          </cell>
        </row>
        <row r="43">
          <cell r="A43" t="str">
            <v>JTG63421</v>
          </cell>
        </row>
        <row r="44">
          <cell r="A44" t="str">
            <v>JJN65822</v>
          </cell>
        </row>
        <row r="45">
          <cell r="A45" t="str">
            <v>JXG63552</v>
          </cell>
        </row>
        <row r="46">
          <cell r="A46" t="str">
            <v>JMG63045</v>
          </cell>
        </row>
        <row r="47">
          <cell r="A47" t="str">
            <v>JJN65824A</v>
          </cell>
        </row>
        <row r="48">
          <cell r="A48" t="str">
            <v>JXG53497-8</v>
          </cell>
        </row>
        <row r="49">
          <cell r="A49" t="str">
            <v>JHG63599</v>
          </cell>
        </row>
        <row r="50">
          <cell r="A50" t="str">
            <v>JJG53120G-4</v>
          </cell>
        </row>
        <row r="51">
          <cell r="A51" t="str">
            <v>JXG63568</v>
          </cell>
        </row>
        <row r="52">
          <cell r="A52" t="str">
            <v>JJN65824B</v>
          </cell>
        </row>
        <row r="53">
          <cell r="A53" t="str">
            <v>JJN65813A</v>
          </cell>
        </row>
        <row r="54">
          <cell r="A54" t="str">
            <v>JJN65813B</v>
          </cell>
        </row>
        <row r="55">
          <cell r="A55" t="str">
            <v>JGG63610</v>
          </cell>
        </row>
        <row r="56">
          <cell r="A56" t="str">
            <v>JKG55107-4</v>
          </cell>
        </row>
        <row r="57">
          <cell r="A57" t="str">
            <v>JTB63037</v>
          </cell>
        </row>
        <row r="58">
          <cell r="A58" t="str">
            <v>JLG44627G-4</v>
          </cell>
        </row>
        <row r="59">
          <cell r="A59" t="str">
            <v>JXG63561-1</v>
          </cell>
        </row>
        <row r="60">
          <cell r="A60" t="str">
            <v>JJG53405-7</v>
          </cell>
        </row>
        <row r="61">
          <cell r="A61" t="str">
            <v>JEG52967-7</v>
          </cell>
        </row>
        <row r="62">
          <cell r="A62" t="str">
            <v>JJN62815-10</v>
          </cell>
        </row>
        <row r="63">
          <cell r="A63" t="str">
            <v>JQG61889-1</v>
          </cell>
        </row>
        <row r="64">
          <cell r="A64" t="str">
            <v>JXB53635-7</v>
          </cell>
        </row>
        <row r="65">
          <cell r="A65" t="str">
            <v>JCG63836</v>
          </cell>
        </row>
        <row r="66">
          <cell r="A66" t="str">
            <v>JCG63015</v>
          </cell>
        </row>
        <row r="67">
          <cell r="A67" t="str">
            <v>JJB63639</v>
          </cell>
        </row>
        <row r="68">
          <cell r="A68" t="str">
            <v>JJB63649</v>
          </cell>
        </row>
        <row r="69">
          <cell r="A69" t="str">
            <v>JXB53017-6</v>
          </cell>
        </row>
        <row r="70">
          <cell r="A70" t="str">
            <v>JGB63635</v>
          </cell>
        </row>
        <row r="71">
          <cell r="A71" t="str">
            <v>JJG55836-2</v>
          </cell>
        </row>
        <row r="72">
          <cell r="A72" t="str">
            <v>JJN55358G-2</v>
          </cell>
        </row>
        <row r="73">
          <cell r="A73" t="str">
            <v>JJN45896G-13</v>
          </cell>
        </row>
        <row r="74">
          <cell r="A74" t="str">
            <v>JJN55525-5</v>
          </cell>
        </row>
        <row r="75">
          <cell r="A75" t="str">
            <v>JLG63380</v>
          </cell>
        </row>
        <row r="76">
          <cell r="A76" t="str">
            <v>JTG63036</v>
          </cell>
        </row>
        <row r="77">
          <cell r="A77" t="str">
            <v>JXG53497-10</v>
          </cell>
        </row>
        <row r="78">
          <cell r="A78" t="str">
            <v>JJG63910</v>
          </cell>
        </row>
        <row r="79">
          <cell r="A79" t="str">
            <v>JJB63572</v>
          </cell>
        </row>
        <row r="80">
          <cell r="A80" t="str">
            <v>JJG63051</v>
          </cell>
        </row>
        <row r="81">
          <cell r="A81" t="str">
            <v>JJG63617</v>
          </cell>
        </row>
        <row r="82">
          <cell r="A82" t="str">
            <v>JJN63056</v>
          </cell>
        </row>
        <row r="83">
          <cell r="A83" t="str">
            <v>JTG63832</v>
          </cell>
        </row>
        <row r="84">
          <cell r="A84" t="str">
            <v>JJN63881</v>
          </cell>
        </row>
        <row r="85">
          <cell r="A85" t="str">
            <v>JXG63453</v>
          </cell>
        </row>
        <row r="86">
          <cell r="A86" t="str">
            <v>JXG63569</v>
          </cell>
        </row>
        <row r="87">
          <cell r="A87" t="str">
            <v>JCG23802J-23</v>
          </cell>
        </row>
        <row r="88">
          <cell r="A88" t="str">
            <v>JEG62522-3</v>
          </cell>
        </row>
        <row r="89">
          <cell r="A89" t="str">
            <v>JJG51898H-4</v>
          </cell>
        </row>
        <row r="90">
          <cell r="A90" t="str">
            <v>JJN62815-11</v>
          </cell>
        </row>
        <row r="91">
          <cell r="A91" t="str">
            <v>JQG61503-3</v>
          </cell>
        </row>
        <row r="92">
          <cell r="A92" t="str">
            <v>JQG620117Y-3</v>
          </cell>
        </row>
        <row r="93">
          <cell r="A93" t="str">
            <v>JXG51744G-7</v>
          </cell>
        </row>
        <row r="94">
          <cell r="A94" t="str">
            <v>JQG63490</v>
          </cell>
        </row>
        <row r="95">
          <cell r="A95" t="str">
            <v>JRG63120</v>
          </cell>
        </row>
        <row r="96">
          <cell r="A96" t="str">
            <v>JXG63526-1</v>
          </cell>
        </row>
        <row r="97">
          <cell r="A97" t="str">
            <v>JJN63921</v>
          </cell>
        </row>
        <row r="98">
          <cell r="A98" t="str">
            <v>JKG63812-1</v>
          </cell>
        </row>
        <row r="99">
          <cell r="A99" t="str">
            <v>JTG61527-4</v>
          </cell>
        </row>
        <row r="100">
          <cell r="A100" t="str">
            <v>JLG61639G-2</v>
          </cell>
        </row>
        <row r="101">
          <cell r="A101" t="str">
            <v>JTG620001Y-6</v>
          </cell>
        </row>
        <row r="102">
          <cell r="A102" t="str">
            <v>JXB63942</v>
          </cell>
        </row>
        <row r="103">
          <cell r="A103" t="str">
            <v>JTG63940</v>
          </cell>
        </row>
        <row r="104">
          <cell r="A104" t="str">
            <v>JTG63835</v>
          </cell>
        </row>
        <row r="105">
          <cell r="A105" t="str">
            <v>JJG63871</v>
          </cell>
        </row>
        <row r="106">
          <cell r="A106" t="str">
            <v>JJN65812</v>
          </cell>
        </row>
        <row r="107">
          <cell r="A107" t="str">
            <v>JJN65815</v>
          </cell>
        </row>
        <row r="108">
          <cell r="A108" t="str">
            <v>JQG52245-16</v>
          </cell>
        </row>
        <row r="109">
          <cell r="A109" t="str">
            <v>JDG63058</v>
          </cell>
        </row>
        <row r="110">
          <cell r="A110" t="str">
            <v>JGB63047</v>
          </cell>
        </row>
        <row r="111">
          <cell r="A111" t="str">
            <v>JJG63893</v>
          </cell>
        </row>
        <row r="112">
          <cell r="A112" t="str">
            <v>JRG25585H-23</v>
          </cell>
        </row>
        <row r="113">
          <cell r="A113" t="str">
            <v>JJN63882A</v>
          </cell>
        </row>
        <row r="114">
          <cell r="A114" t="str">
            <v>JJN63882B</v>
          </cell>
        </row>
        <row r="115">
          <cell r="A115" t="str">
            <v>JMG63827</v>
          </cell>
        </row>
        <row r="116">
          <cell r="A116" t="str">
            <v>JRG63455</v>
          </cell>
        </row>
        <row r="117">
          <cell r="A117" t="str">
            <v>JTG63481</v>
          </cell>
        </row>
        <row r="118">
          <cell r="A118" t="str">
            <v>JJG63894</v>
          </cell>
        </row>
        <row r="119">
          <cell r="A119" t="str">
            <v>JJN43110-11</v>
          </cell>
        </row>
        <row r="120">
          <cell r="A120" t="str">
            <v>JTG63482</v>
          </cell>
        </row>
        <row r="121">
          <cell r="A121" t="str">
            <v>JXG63674</v>
          </cell>
        </row>
        <row r="122">
          <cell r="A122" t="str">
            <v>JLG63695</v>
          </cell>
        </row>
        <row r="123">
          <cell r="A123" t="str">
            <v>JLG63696</v>
          </cell>
        </row>
        <row r="124">
          <cell r="A124" t="str">
            <v>JXG63603-1</v>
          </cell>
        </row>
        <row r="125">
          <cell r="A125" t="str">
            <v>JKG63049-1</v>
          </cell>
        </row>
        <row r="126">
          <cell r="A126" t="str">
            <v>JTB63652</v>
          </cell>
        </row>
        <row r="127">
          <cell r="A127" t="str">
            <v>JRG63543-1</v>
          </cell>
        </row>
        <row r="128">
          <cell r="A128" t="str">
            <v>JKG63065-1</v>
          </cell>
        </row>
        <row r="129">
          <cell r="A129" t="str">
            <v>JTG63834</v>
          </cell>
        </row>
        <row r="130">
          <cell r="A130" t="str">
            <v>JXG63454</v>
          </cell>
        </row>
        <row r="131">
          <cell r="A131" t="str">
            <v>JXG63550</v>
          </cell>
        </row>
        <row r="132">
          <cell r="A132" t="str">
            <v>JQG63007-1</v>
          </cell>
        </row>
        <row r="133">
          <cell r="A133" t="str">
            <v>JXN63081</v>
          </cell>
        </row>
        <row r="134">
          <cell r="A134" t="str">
            <v>JZG63472</v>
          </cell>
        </row>
        <row r="135">
          <cell r="A135" t="str">
            <v>JLN63328</v>
          </cell>
        </row>
        <row r="136">
          <cell r="A136" t="str">
            <v>JJG63686</v>
          </cell>
        </row>
        <row r="137">
          <cell r="A137" t="str">
            <v>JJB63071</v>
          </cell>
        </row>
        <row r="138">
          <cell r="A138" t="str">
            <v>JCG63838</v>
          </cell>
        </row>
        <row r="139">
          <cell r="A139" t="str">
            <v>JDG63041</v>
          </cell>
        </row>
        <row r="140">
          <cell r="A140" t="str">
            <v>JDG63122</v>
          </cell>
        </row>
        <row r="141">
          <cell r="A141" t="str">
            <v>JDG63123</v>
          </cell>
        </row>
        <row r="142">
          <cell r="A142" t="str">
            <v>JJG63055</v>
          </cell>
        </row>
        <row r="143">
          <cell r="A143" t="str">
            <v>JRG63067</v>
          </cell>
        </row>
        <row r="144">
          <cell r="A144" t="str">
            <v>JTG63597</v>
          </cell>
        </row>
        <row r="145">
          <cell r="A145" t="str">
            <v>JTG63327</v>
          </cell>
        </row>
        <row r="146">
          <cell r="A146" t="str">
            <v>JJG63877</v>
          </cell>
        </row>
        <row r="147">
          <cell r="A147" t="str">
            <v>JTG63127</v>
          </cell>
        </row>
        <row r="148">
          <cell r="A148" t="str">
            <v>JKG63420</v>
          </cell>
        </row>
        <row r="149">
          <cell r="A149" t="str">
            <v>JKG63879</v>
          </cell>
        </row>
        <row r="150">
          <cell r="A150" t="str">
            <v>JTG63891</v>
          </cell>
        </row>
        <row r="151">
          <cell r="A151" t="str">
            <v>JXG63852</v>
          </cell>
        </row>
        <row r="152">
          <cell r="A152" t="str">
            <v>JKN63449</v>
          </cell>
        </row>
        <row r="153">
          <cell r="A153" t="str">
            <v>JQG63382</v>
          </cell>
        </row>
        <row r="154">
          <cell r="A154" t="str">
            <v>JRG63672</v>
          </cell>
        </row>
        <row r="155">
          <cell r="A155" t="str">
            <v>JTB63326</v>
          </cell>
        </row>
        <row r="156">
          <cell r="A156" t="str">
            <v>JJG63880</v>
          </cell>
        </row>
        <row r="157">
          <cell r="A157" t="str">
            <v>JTN63418</v>
          </cell>
        </row>
        <row r="158">
          <cell r="A158" t="str">
            <v>JXB63329</v>
          </cell>
        </row>
        <row r="159">
          <cell r="A159" t="str">
            <v>JXG63353</v>
          </cell>
        </row>
        <row r="160">
          <cell r="A160" t="str">
            <v>JXG63452</v>
          </cell>
        </row>
        <row r="161">
          <cell r="A161" t="str">
            <v>JKG63350</v>
          </cell>
        </row>
        <row r="162">
          <cell r="A162" t="str">
            <v>JSB32938K-22</v>
          </cell>
        </row>
        <row r="163">
          <cell r="A163" t="str">
            <v>JYN54847G-11</v>
          </cell>
        </row>
        <row r="164">
          <cell r="A164" t="str">
            <v>JQG63530-1</v>
          </cell>
        </row>
        <row r="165">
          <cell r="A165" t="str">
            <v>JMG63523</v>
          </cell>
        </row>
        <row r="166">
          <cell r="A166" t="str">
            <v>JJG55051-2</v>
          </cell>
        </row>
        <row r="167">
          <cell r="A167" t="str">
            <v>JQG63589</v>
          </cell>
        </row>
        <row r="168">
          <cell r="A168" t="str">
            <v>JJG63456-1</v>
          </cell>
        </row>
        <row r="169">
          <cell r="A169" t="str">
            <v>JSG62848-6</v>
          </cell>
        </row>
        <row r="170">
          <cell r="A170" t="str">
            <v>JDG61826G-3</v>
          </cell>
        </row>
        <row r="171">
          <cell r="A171" t="str">
            <v>JTG63856</v>
          </cell>
        </row>
        <row r="172">
          <cell r="A172" t="str">
            <v>JTG63576-1</v>
          </cell>
        </row>
        <row r="173">
          <cell r="A173" t="str">
            <v>JKN45018G-10</v>
          </cell>
        </row>
        <row r="174">
          <cell r="A174" t="str">
            <v>JHG63542-1</v>
          </cell>
        </row>
        <row r="175">
          <cell r="A175" t="str">
            <v>JYN54878G-4</v>
          </cell>
        </row>
        <row r="176">
          <cell r="A176" t="str">
            <v>JQG61611-4</v>
          </cell>
        </row>
        <row r="177">
          <cell r="A177" t="str">
            <v>JXG63872</v>
          </cell>
        </row>
        <row r="178">
          <cell r="A178" t="str">
            <v>JDG55751-3</v>
          </cell>
        </row>
        <row r="179">
          <cell r="A179" t="str">
            <v>JDG54914-2</v>
          </cell>
        </row>
        <row r="180">
          <cell r="A180" t="str">
            <v>JKG61853-5</v>
          </cell>
        </row>
        <row r="181">
          <cell r="A181" t="str">
            <v>JJG54894-6</v>
          </cell>
        </row>
        <row r="182">
          <cell r="A182" t="str">
            <v>JJN43852G-8</v>
          </cell>
        </row>
        <row r="183">
          <cell r="A183" t="str">
            <v>JKG55611-3</v>
          </cell>
        </row>
        <row r="184">
          <cell r="A184" t="str">
            <v>JQG63331</v>
          </cell>
        </row>
        <row r="185">
          <cell r="A185" t="str">
            <v>JQG63916</v>
          </cell>
        </row>
        <row r="186">
          <cell r="A186" t="str">
            <v>JYN64859A</v>
          </cell>
        </row>
        <row r="187">
          <cell r="A187" t="str">
            <v>JYN64859B</v>
          </cell>
        </row>
        <row r="188">
          <cell r="A188" t="str">
            <v>JKN65623</v>
          </cell>
        </row>
        <row r="189">
          <cell r="A189" t="str">
            <v>JKB65609</v>
          </cell>
        </row>
        <row r="190">
          <cell r="A190" t="str">
            <v>JJG63936</v>
          </cell>
        </row>
        <row r="191">
          <cell r="A191" t="str">
            <v>JQG63937</v>
          </cell>
        </row>
        <row r="192">
          <cell r="A192" t="str">
            <v>JHB63408</v>
          </cell>
        </row>
        <row r="193">
          <cell r="A193" t="str">
            <v>JAG44273G-5</v>
          </cell>
        </row>
        <row r="194">
          <cell r="A194" t="str">
            <v>JJB63064</v>
          </cell>
        </row>
        <row r="195">
          <cell r="A195" t="str">
            <v>JAN54707-6</v>
          </cell>
        </row>
        <row r="196">
          <cell r="A196" t="str">
            <v>JCG63087</v>
          </cell>
        </row>
        <row r="197">
          <cell r="A197" t="str">
            <v>JCG63447</v>
          </cell>
        </row>
        <row r="198">
          <cell r="A198" t="str">
            <v>JGG63376</v>
          </cell>
        </row>
        <row r="199">
          <cell r="A199" t="str">
            <v>JHG63082</v>
          </cell>
        </row>
        <row r="200">
          <cell r="A200" t="str">
            <v>JJB65542</v>
          </cell>
        </row>
        <row r="201">
          <cell r="A201" t="str">
            <v>JJB63358</v>
          </cell>
        </row>
        <row r="202">
          <cell r="A202" t="str">
            <v>JJB63873</v>
          </cell>
        </row>
        <row r="203">
          <cell r="A203" t="str">
            <v>JJG45807G-3</v>
          </cell>
        </row>
        <row r="204">
          <cell r="A204" t="str">
            <v>JKB63101</v>
          </cell>
        </row>
        <row r="205">
          <cell r="A205" t="str">
            <v>JGN65848</v>
          </cell>
        </row>
        <row r="206">
          <cell r="A206" t="str">
            <v>JNG65508</v>
          </cell>
        </row>
        <row r="207">
          <cell r="A207" t="str">
            <v>JJN65559</v>
          </cell>
        </row>
        <row r="208">
          <cell r="A208" t="str">
            <v>JJG63063</v>
          </cell>
        </row>
        <row r="209">
          <cell r="A209" t="str">
            <v>JXN63345</v>
          </cell>
        </row>
        <row r="210">
          <cell r="A210" t="str">
            <v>JKB65544</v>
          </cell>
        </row>
        <row r="211">
          <cell r="A211" t="str">
            <v>JJG63363</v>
          </cell>
        </row>
        <row r="212">
          <cell r="A212" t="str">
            <v>JKN64521</v>
          </cell>
        </row>
        <row r="213">
          <cell r="A213" t="str">
            <v>JTN63348</v>
          </cell>
        </row>
        <row r="214">
          <cell r="A214" t="str">
            <v>JKG65546</v>
          </cell>
        </row>
        <row r="215">
          <cell r="A215" t="str">
            <v>JRB65868</v>
          </cell>
        </row>
        <row r="216">
          <cell r="A216" t="str">
            <v>JRN65658</v>
          </cell>
        </row>
        <row r="217">
          <cell r="A217" t="str">
            <v>JXN63445</v>
          </cell>
        </row>
        <row r="218">
          <cell r="A218" t="str">
            <v>JJG63862</v>
          </cell>
        </row>
        <row r="219">
          <cell r="A219" t="str">
            <v>JJG63908</v>
          </cell>
        </row>
        <row r="220">
          <cell r="A220" t="str">
            <v>JJN65823</v>
          </cell>
        </row>
        <row r="221">
          <cell r="A221" t="str">
            <v>JJN65827</v>
          </cell>
        </row>
        <row r="222">
          <cell r="A222" t="str">
            <v>JLG63330</v>
          </cell>
        </row>
        <row r="223">
          <cell r="A223" t="str">
            <v>JMB63941</v>
          </cell>
        </row>
        <row r="224">
          <cell r="A224" t="str">
            <v>JNG65586</v>
          </cell>
        </row>
        <row r="225">
          <cell r="A225" t="str">
            <v>JJN65821</v>
          </cell>
        </row>
        <row r="226">
          <cell r="A226" t="str">
            <v>JMG63022</v>
          </cell>
        </row>
        <row r="227">
          <cell r="A227" t="str">
            <v>JMG63023</v>
          </cell>
        </row>
        <row r="228">
          <cell r="A228" t="str">
            <v>JLB63102</v>
          </cell>
        </row>
        <row r="229">
          <cell r="A229" t="str">
            <v>JNN65506</v>
          </cell>
        </row>
        <row r="230">
          <cell r="A230" t="str">
            <v>JQG63073</v>
          </cell>
        </row>
        <row r="231">
          <cell r="A231" t="str">
            <v>JLG63342</v>
          </cell>
        </row>
        <row r="232">
          <cell r="A232" t="str">
            <v>JQG63074</v>
          </cell>
        </row>
        <row r="233">
          <cell r="A233" t="str">
            <v>JQG63366</v>
          </cell>
        </row>
        <row r="234">
          <cell r="A234" t="str">
            <v>JRB63411</v>
          </cell>
        </row>
        <row r="235">
          <cell r="A235" t="str">
            <v>JRB63412</v>
          </cell>
        </row>
        <row r="236">
          <cell r="A236" t="str">
            <v>JTG63860</v>
          </cell>
        </row>
        <row r="237">
          <cell r="A237" t="str">
            <v>JXG63097</v>
          </cell>
        </row>
        <row r="238">
          <cell r="A238" t="str">
            <v>JQG63085</v>
          </cell>
        </row>
        <row r="239">
          <cell r="A239" t="str">
            <v>JQG63365</v>
          </cell>
        </row>
        <row r="240">
          <cell r="A240" t="str">
            <v>JXG63113</v>
          </cell>
        </row>
        <row r="241">
          <cell r="A241" t="str">
            <v>JXG63346</v>
          </cell>
        </row>
        <row r="242">
          <cell r="A242" t="str">
            <v>JYB64858</v>
          </cell>
        </row>
        <row r="243">
          <cell r="A243" t="str">
            <v>JTG63367</v>
          </cell>
        </row>
        <row r="244">
          <cell r="A244" t="str">
            <v>JYG64856</v>
          </cell>
        </row>
        <row r="245">
          <cell r="A245" t="str">
            <v>JXB63109</v>
          </cell>
        </row>
        <row r="246">
          <cell r="A246" t="str">
            <v>JYN64814A</v>
          </cell>
        </row>
        <row r="247">
          <cell r="A247" t="str">
            <v>JXG63112</v>
          </cell>
        </row>
        <row r="248">
          <cell r="A248" t="str">
            <v>JYN64814B</v>
          </cell>
        </row>
        <row r="249">
          <cell r="A249" t="str">
            <v>JYN64855</v>
          </cell>
        </row>
        <row r="250">
          <cell r="A250" t="str">
            <v>JXG63462</v>
          </cell>
        </row>
        <row r="251">
          <cell r="A251" t="str">
            <v>JTN65663</v>
          </cell>
        </row>
        <row r="252">
          <cell r="A252" t="str">
            <v>JQG55932-7</v>
          </cell>
        </row>
        <row r="253">
          <cell r="A253" t="str">
            <v>JHG44837G-3</v>
          </cell>
        </row>
        <row r="254">
          <cell r="A254" t="str">
            <v>JTG55699-4</v>
          </cell>
        </row>
        <row r="255">
          <cell r="A255" t="str">
            <v>JTN65650</v>
          </cell>
        </row>
        <row r="256">
          <cell r="A256" t="str">
            <v>JXG65644</v>
          </cell>
        </row>
        <row r="257">
          <cell r="A257" t="str">
            <v>JLG55634-8</v>
          </cell>
        </row>
        <row r="258">
          <cell r="A258" t="str">
            <v>JAG54868-1</v>
          </cell>
        </row>
        <row r="259">
          <cell r="A259" t="str">
            <v>JTG63870-1</v>
          </cell>
        </row>
        <row r="260">
          <cell r="A260" t="str">
            <v>JYB54849G-2</v>
          </cell>
        </row>
        <row r="261">
          <cell r="A261" t="str">
            <v>JDG55076-3</v>
          </cell>
        </row>
        <row r="262">
          <cell r="A262" t="str">
            <v>JDG55158-4</v>
          </cell>
        </row>
        <row r="263">
          <cell r="A263" t="str">
            <v>JDG55169G-3</v>
          </cell>
        </row>
        <row r="264">
          <cell r="A264" t="str">
            <v>JDG55333-2</v>
          </cell>
        </row>
        <row r="265">
          <cell r="A265" t="str">
            <v>JJB35643G-7</v>
          </cell>
        </row>
        <row r="266">
          <cell r="A266" t="str">
            <v>JDG55027-2</v>
          </cell>
        </row>
        <row r="267">
          <cell r="A267" t="str">
            <v>JLG45650G-6</v>
          </cell>
        </row>
        <row r="268">
          <cell r="A268" t="str">
            <v>JLG54606-4</v>
          </cell>
        </row>
        <row r="269">
          <cell r="A269" t="str">
            <v>JXN45073G-10</v>
          </cell>
        </row>
        <row r="270">
          <cell r="A270" t="str">
            <v>JKG45819G-6</v>
          </cell>
        </row>
        <row r="271">
          <cell r="A271" t="str">
            <v>JKG55004-9</v>
          </cell>
        </row>
        <row r="272">
          <cell r="A272" t="str">
            <v>JKN45647G-8</v>
          </cell>
        </row>
        <row r="273">
          <cell r="A273" t="str">
            <v>JKN55938-2</v>
          </cell>
        </row>
        <row r="274">
          <cell r="A274" t="str">
            <v>JTN63948</v>
          </cell>
        </row>
        <row r="275">
          <cell r="A275" t="str">
            <v>JKG65028</v>
          </cell>
        </row>
        <row r="276">
          <cell r="A276" t="str">
            <v>JXG65635</v>
          </cell>
        </row>
        <row r="277">
          <cell r="A277" t="str">
            <v>JKG65550</v>
          </cell>
        </row>
        <row r="278">
          <cell r="A278" t="str">
            <v>JKG55510-6</v>
          </cell>
        </row>
        <row r="279">
          <cell r="A279" t="str">
            <v>JKG55725-4</v>
          </cell>
        </row>
        <row r="280">
          <cell r="A280" t="str">
            <v>JKG55935-5</v>
          </cell>
        </row>
        <row r="281">
          <cell r="A281" t="str">
            <v>JJN55547-8</v>
          </cell>
        </row>
        <row r="282">
          <cell r="A282" t="str">
            <v>JKN55633-3</v>
          </cell>
        </row>
        <row r="283">
          <cell r="A283" t="str">
            <v>JKN55707-3</v>
          </cell>
        </row>
        <row r="284">
          <cell r="A284" t="str">
            <v>JLG55894G-2</v>
          </cell>
        </row>
        <row r="285">
          <cell r="A285" t="str">
            <v>JLG55622-3</v>
          </cell>
        </row>
        <row r="286">
          <cell r="A286" t="str">
            <v>JYB54310G-4</v>
          </cell>
        </row>
        <row r="287">
          <cell r="A287" t="str">
            <v>JYB54900G-2</v>
          </cell>
        </row>
        <row r="288">
          <cell r="A288" t="str">
            <v>JYG54845G-4</v>
          </cell>
        </row>
        <row r="289">
          <cell r="A289" t="str">
            <v>JJN55501-9</v>
          </cell>
        </row>
        <row r="290">
          <cell r="A290" t="str">
            <v>JJN55612-3</v>
          </cell>
        </row>
        <row r="291">
          <cell r="A291" t="str">
            <v>JR03735H-23</v>
          </cell>
        </row>
        <row r="292">
          <cell r="A292" t="str">
            <v>JRG65577</v>
          </cell>
        </row>
        <row r="293">
          <cell r="A293" t="str">
            <v>JKG64013</v>
          </cell>
        </row>
        <row r="294">
          <cell r="A294" t="str">
            <v>JZN65561</v>
          </cell>
        </row>
        <row r="295">
          <cell r="A295" t="str">
            <v>JXG65645</v>
          </cell>
        </row>
        <row r="296">
          <cell r="A296" t="str">
            <v>JKN65649</v>
          </cell>
        </row>
        <row r="297">
          <cell r="A297" t="str">
            <v>JRG65646</v>
          </cell>
        </row>
        <row r="298">
          <cell r="A298" t="str">
            <v>JKG55664-3</v>
          </cell>
        </row>
        <row r="299">
          <cell r="A299" t="str">
            <v>JGG65526</v>
          </cell>
        </row>
        <row r="300">
          <cell r="A300" t="str">
            <v>JTB63444</v>
          </cell>
        </row>
        <row r="301">
          <cell r="A301" t="str">
            <v>JCG63093</v>
          </cell>
        </row>
        <row r="302">
          <cell r="A302" t="str">
            <v>JDG63439</v>
          </cell>
        </row>
        <row r="303">
          <cell r="A303" t="str">
            <v>JDG63385</v>
          </cell>
        </row>
        <row r="304">
          <cell r="A304" t="str">
            <v>JDG63441</v>
          </cell>
        </row>
        <row r="305">
          <cell r="A305" t="str">
            <v>JEG63096</v>
          </cell>
        </row>
        <row r="306">
          <cell r="A306" t="str">
            <v>JEG63094</v>
          </cell>
        </row>
        <row r="307">
          <cell r="A307" t="str">
            <v>JEG63098</v>
          </cell>
        </row>
        <row r="308">
          <cell r="A308" t="str">
            <v>JEG63099</v>
          </cell>
        </row>
        <row r="309">
          <cell r="A309" t="str">
            <v>JHB63407</v>
          </cell>
        </row>
        <row r="310">
          <cell r="A310" t="str">
            <v>JGG63349</v>
          </cell>
        </row>
        <row r="311">
          <cell r="A311" t="str">
            <v>JHG63422</v>
          </cell>
        </row>
        <row r="312">
          <cell r="A312" t="str">
            <v>JJG63090</v>
          </cell>
        </row>
        <row r="313">
          <cell r="A313" t="str">
            <v>JHG63924</v>
          </cell>
        </row>
        <row r="314">
          <cell r="A314" t="str">
            <v>JJG63107</v>
          </cell>
        </row>
        <row r="315">
          <cell r="A315" t="str">
            <v>JJG63399</v>
          </cell>
        </row>
        <row r="316">
          <cell r="A316" t="str">
            <v>JJG63337</v>
          </cell>
        </row>
        <row r="317">
          <cell r="A317" t="str">
            <v>JKG63083</v>
          </cell>
        </row>
        <row r="318">
          <cell r="A318" t="str">
            <v>JHB63409</v>
          </cell>
        </row>
        <row r="319">
          <cell r="A319" t="str">
            <v>JKN63339</v>
          </cell>
        </row>
        <row r="320">
          <cell r="A320" t="str">
            <v>JKN63340</v>
          </cell>
        </row>
        <row r="321">
          <cell r="A321" t="str">
            <v>JJN65814</v>
          </cell>
        </row>
        <row r="322">
          <cell r="A322" t="str">
            <v>JQG63092</v>
          </cell>
        </row>
        <row r="323">
          <cell r="A323" t="str">
            <v>JRG63388</v>
          </cell>
        </row>
        <row r="324">
          <cell r="A324" t="str">
            <v>JXB63360</v>
          </cell>
        </row>
        <row r="325">
          <cell r="A325" t="str">
            <v>JTG65852</v>
          </cell>
        </row>
        <row r="326">
          <cell r="A326" t="str">
            <v>JKG63095</v>
          </cell>
        </row>
        <row r="327">
          <cell r="A327" t="str">
            <v>JLG63341</v>
          </cell>
        </row>
        <row r="328">
          <cell r="A328" t="str">
            <v>JMG63089</v>
          </cell>
        </row>
        <row r="329">
          <cell r="A329" t="str">
            <v>JMN63128</v>
          </cell>
        </row>
        <row r="330">
          <cell r="A330" t="str">
            <v>JQG63086</v>
          </cell>
        </row>
        <row r="331">
          <cell r="A331" t="str">
            <v>JXN63393</v>
          </cell>
        </row>
        <row r="332">
          <cell r="A332" t="str">
            <v>JQG63091</v>
          </cell>
        </row>
        <row r="333">
          <cell r="A333" t="str">
            <v>JXN65450</v>
          </cell>
        </row>
        <row r="334">
          <cell r="A334" t="str">
            <v>JXB65670</v>
          </cell>
        </row>
        <row r="335">
          <cell r="A335" t="str">
            <v>JQG63430</v>
          </cell>
        </row>
        <row r="336">
          <cell r="A336" t="str">
            <v>JKG63124</v>
          </cell>
        </row>
        <row r="337">
          <cell r="A337" t="str">
            <v>JKG63396</v>
          </cell>
        </row>
        <row r="338">
          <cell r="A338" t="str">
            <v>JQG63673</v>
          </cell>
        </row>
        <row r="339">
          <cell r="A339" t="str">
            <v>JLN63335</v>
          </cell>
        </row>
        <row r="340">
          <cell r="A340" t="str">
            <v>JQG63866</v>
          </cell>
        </row>
        <row r="341">
          <cell r="A341" t="str">
            <v>JMG63522</v>
          </cell>
        </row>
        <row r="342">
          <cell r="A342" t="str">
            <v>JQG63900</v>
          </cell>
        </row>
        <row r="343">
          <cell r="A343" t="str">
            <v>JQG63905</v>
          </cell>
        </row>
        <row r="344">
          <cell r="A344" t="str">
            <v>JQG63906</v>
          </cell>
        </row>
        <row r="345">
          <cell r="A345" t="str">
            <v>JQG63923</v>
          </cell>
        </row>
        <row r="346">
          <cell r="A346" t="str">
            <v>JQG63440</v>
          </cell>
        </row>
        <row r="347">
          <cell r="A347" t="str">
            <v>JQG63931</v>
          </cell>
        </row>
        <row r="348">
          <cell r="A348" t="str">
            <v>JRG63105</v>
          </cell>
        </row>
        <row r="349">
          <cell r="A349" t="str">
            <v>JQG63899</v>
          </cell>
        </row>
        <row r="350">
          <cell r="A350" t="str">
            <v>JRG63117</v>
          </cell>
        </row>
        <row r="351">
          <cell r="A351" t="str">
            <v>JRG63925</v>
          </cell>
        </row>
        <row r="352">
          <cell r="A352" t="str">
            <v>JRN63907</v>
          </cell>
        </row>
        <row r="353">
          <cell r="A353" t="str">
            <v>JTG63334</v>
          </cell>
        </row>
        <row r="354">
          <cell r="A354" t="str">
            <v>JQG63927</v>
          </cell>
        </row>
        <row r="355">
          <cell r="A355" t="str">
            <v>JTG63487</v>
          </cell>
        </row>
        <row r="356">
          <cell r="A356" t="str">
            <v>JTG63917</v>
          </cell>
        </row>
        <row r="357">
          <cell r="A357" t="str">
            <v>JTG63926</v>
          </cell>
        </row>
        <row r="358">
          <cell r="A358" t="str">
            <v>JTG63934</v>
          </cell>
        </row>
        <row r="359">
          <cell r="A359" t="str">
            <v>JXG63896</v>
          </cell>
        </row>
        <row r="360">
          <cell r="A360" t="str">
            <v>JTB63370</v>
          </cell>
        </row>
        <row r="361">
          <cell r="A361" t="str">
            <v>JTB63417</v>
          </cell>
        </row>
        <row r="362">
          <cell r="A362" t="str">
            <v>JYG64818</v>
          </cell>
        </row>
        <row r="363">
          <cell r="A363" t="str">
            <v>JYG64829</v>
          </cell>
        </row>
        <row r="364">
          <cell r="A364" t="str">
            <v>JZG63431</v>
          </cell>
        </row>
        <row r="365">
          <cell r="A365" t="str">
            <v>JLG35698G-11</v>
          </cell>
        </row>
        <row r="366">
          <cell r="A366" t="str">
            <v>JNN65113</v>
          </cell>
        </row>
        <row r="367">
          <cell r="A367" t="str">
            <v>JLG45603G-6</v>
          </cell>
        </row>
        <row r="368">
          <cell r="A368" t="str">
            <v>JXG63930</v>
          </cell>
        </row>
        <row r="369">
          <cell r="A369" t="str">
            <v>JJB54082-2</v>
          </cell>
        </row>
        <row r="370">
          <cell r="A370" t="str">
            <v>JJG54891-3</v>
          </cell>
        </row>
        <row r="371">
          <cell r="A371" t="str">
            <v>JJN54749-4</v>
          </cell>
        </row>
        <row r="372">
          <cell r="A372" t="str">
            <v>JLG55669G-4</v>
          </cell>
        </row>
        <row r="373">
          <cell r="A373" t="str">
            <v>JLG55660-4</v>
          </cell>
        </row>
        <row r="374">
          <cell r="A374" t="str">
            <v>JLG25518G-11</v>
          </cell>
        </row>
        <row r="375">
          <cell r="A375" t="str">
            <v>JRN55762-6</v>
          </cell>
        </row>
        <row r="376">
          <cell r="A376" t="str">
            <v>JKG54365G-3</v>
          </cell>
        </row>
        <row r="377">
          <cell r="A377" t="str">
            <v>JLB55171-2</v>
          </cell>
        </row>
        <row r="378">
          <cell r="A378" t="str">
            <v>JKG54736-4</v>
          </cell>
        </row>
        <row r="379">
          <cell r="A379" t="str">
            <v>JGN45081G-4</v>
          </cell>
        </row>
        <row r="380">
          <cell r="A380" t="str">
            <v>JHB54876-3</v>
          </cell>
        </row>
        <row r="381">
          <cell r="A381" t="str">
            <v>JRB55552-2</v>
          </cell>
        </row>
        <row r="382">
          <cell r="A382" t="str">
            <v>JLB45065G-5</v>
          </cell>
        </row>
        <row r="383">
          <cell r="A383" t="str">
            <v>JRN55463-4</v>
          </cell>
        </row>
        <row r="384">
          <cell r="A384" t="str">
            <v>JEB55858-3</v>
          </cell>
        </row>
        <row r="385">
          <cell r="A385" t="str">
            <v>JEG55942-2</v>
          </cell>
        </row>
        <row r="386">
          <cell r="A386" t="str">
            <v>JQG55882-3</v>
          </cell>
        </row>
        <row r="387">
          <cell r="A387" t="str">
            <v>JJG64012</v>
          </cell>
        </row>
        <row r="388">
          <cell r="A388" t="str">
            <v>JAG64841</v>
          </cell>
        </row>
        <row r="389">
          <cell r="A389" t="str">
            <v>JHG63432</v>
          </cell>
        </row>
        <row r="390">
          <cell r="A390" t="str">
            <v>JHN63443</v>
          </cell>
        </row>
        <row r="391">
          <cell r="A391" t="str">
            <v>JJB63433</v>
          </cell>
        </row>
        <row r="392">
          <cell r="A392" t="str">
            <v>JJG63857</v>
          </cell>
        </row>
        <row r="393">
          <cell r="A393" t="str">
            <v>JQG63920</v>
          </cell>
        </row>
        <row r="394">
          <cell r="A394" t="str">
            <v>JXG63939</v>
          </cell>
        </row>
        <row r="395">
          <cell r="A395" t="str">
            <v>JJN65801</v>
          </cell>
        </row>
        <row r="396">
          <cell r="A396" t="str">
            <v>JXG65565</v>
          </cell>
        </row>
        <row r="397">
          <cell r="A397" t="str">
            <v>JJG65602</v>
          </cell>
        </row>
        <row r="398">
          <cell r="A398" t="str">
            <v>JHB64850</v>
          </cell>
        </row>
        <row r="399">
          <cell r="A399" t="str">
            <v>JAG64820</v>
          </cell>
        </row>
        <row r="400">
          <cell r="A400" t="str">
            <v>JCB63914</v>
          </cell>
        </row>
        <row r="401">
          <cell r="A401" t="str">
            <v>JLG65547</v>
          </cell>
        </row>
        <row r="402">
          <cell r="A402" t="str">
            <v>JKG63333</v>
          </cell>
        </row>
        <row r="403">
          <cell r="A403" t="str">
            <v>JKN65504</v>
          </cell>
        </row>
        <row r="404">
          <cell r="A404" t="str">
            <v>JRB63336</v>
          </cell>
        </row>
        <row r="405">
          <cell r="A405" t="str">
            <v>JKN64018</v>
          </cell>
        </row>
        <row r="406">
          <cell r="A406" t="str">
            <v>JJN63442</v>
          </cell>
        </row>
        <row r="407">
          <cell r="A407" t="str">
            <v>JRG55737-2</v>
          </cell>
        </row>
        <row r="408">
          <cell r="A408" t="str">
            <v>JRG63114</v>
          </cell>
        </row>
        <row r="409">
          <cell r="A409" t="str">
            <v>JRG55081-5</v>
          </cell>
        </row>
        <row r="410">
          <cell r="A410" t="str">
            <v>JTG63935</v>
          </cell>
        </row>
        <row r="411">
          <cell r="A411" t="str">
            <v>JTG63374</v>
          </cell>
        </row>
        <row r="412">
          <cell r="A412" t="str">
            <v>JZG65585</v>
          </cell>
        </row>
        <row r="413">
          <cell r="A413" t="str">
            <v>JKG65619</v>
          </cell>
        </row>
        <row r="414">
          <cell r="A414" t="str">
            <v>JTG63929</v>
          </cell>
        </row>
        <row r="415">
          <cell r="A415" t="str">
            <v>JKG65522</v>
          </cell>
        </row>
        <row r="416">
          <cell r="A416" t="str">
            <v>JKG65620</v>
          </cell>
        </row>
        <row r="417">
          <cell r="A417" t="str">
            <v>JKN54016-3</v>
          </cell>
        </row>
        <row r="418">
          <cell r="A418" t="str">
            <v>JJG55350-4</v>
          </cell>
        </row>
        <row r="419">
          <cell r="A419" t="str">
            <v>JLG63381</v>
          </cell>
        </row>
        <row r="420">
          <cell r="A420" t="str">
            <v>JQG63405</v>
          </cell>
        </row>
        <row r="421">
          <cell r="A421" t="str">
            <v>JQG63489</v>
          </cell>
        </row>
        <row r="422">
          <cell r="A422" t="str">
            <v>JQG63901</v>
          </cell>
        </row>
        <row r="423">
          <cell r="A423" t="str">
            <v>JQG63919</v>
          </cell>
        </row>
        <row r="424">
          <cell r="A424" t="str">
            <v>JQG63922</v>
          </cell>
        </row>
        <row r="425">
          <cell r="A425" t="str">
            <v>JRG55647-2</v>
          </cell>
        </row>
        <row r="426">
          <cell r="A426" t="str">
            <v>JRG63106</v>
          </cell>
        </row>
        <row r="427">
          <cell r="A427" t="str">
            <v>JRG63110</v>
          </cell>
        </row>
        <row r="428">
          <cell r="A428" t="str">
            <v>JRG63427</v>
          </cell>
        </row>
        <row r="429">
          <cell r="A429" t="str">
            <v>JRG63928</v>
          </cell>
        </row>
        <row r="430">
          <cell r="A430" t="str">
            <v>JRN63425</v>
          </cell>
        </row>
        <row r="431">
          <cell r="A431" t="str">
            <v>JRN65503</v>
          </cell>
        </row>
        <row r="432">
          <cell r="A432" t="str">
            <v>JTB63108</v>
          </cell>
        </row>
        <row r="433">
          <cell r="A433" t="str">
            <v>JTB63369</v>
          </cell>
        </row>
        <row r="434">
          <cell r="A434" t="str">
            <v>JTG63118</v>
          </cell>
        </row>
        <row r="435">
          <cell r="A435" t="str">
            <v>JTG63394</v>
          </cell>
        </row>
        <row r="436">
          <cell r="A436" t="str">
            <v>JTG63402</v>
          </cell>
        </row>
        <row r="437">
          <cell r="A437" t="str">
            <v>JTG63435</v>
          </cell>
        </row>
        <row r="438">
          <cell r="A438" t="str">
            <v>JTG63436</v>
          </cell>
        </row>
        <row r="439">
          <cell r="A439" t="str">
            <v>JTG63437</v>
          </cell>
        </row>
        <row r="440">
          <cell r="A440" t="str">
            <v>JTG63858</v>
          </cell>
        </row>
        <row r="441">
          <cell r="A441" t="str">
            <v>JTG63902</v>
          </cell>
        </row>
        <row r="442">
          <cell r="A442" t="str">
            <v>JTN65614</v>
          </cell>
        </row>
        <row r="443">
          <cell r="A443" t="str">
            <v>JXG63332</v>
          </cell>
        </row>
        <row r="444">
          <cell r="A444" t="str">
            <v>JXG63347</v>
          </cell>
        </row>
        <row r="445">
          <cell r="A445" t="str">
            <v>JYB64860</v>
          </cell>
        </row>
        <row r="446">
          <cell r="A446" t="str">
            <v>JYB64861</v>
          </cell>
        </row>
        <row r="447">
          <cell r="A447" t="str">
            <v>JYG64807</v>
          </cell>
        </row>
        <row r="448">
          <cell r="A448" t="str">
            <v>JYG64857</v>
          </cell>
        </row>
        <row r="449">
          <cell r="A449" t="str">
            <v>JYN64805</v>
          </cell>
        </row>
        <row r="450">
          <cell r="A450" t="str">
            <v>JYN64806</v>
          </cell>
        </row>
        <row r="451">
          <cell r="A451" t="str">
            <v>JYN64824</v>
          </cell>
        </row>
        <row r="452">
          <cell r="A452" t="str">
            <v>JJN65010</v>
          </cell>
        </row>
        <row r="453">
          <cell r="A453" t="str">
            <v>JDG65024</v>
          </cell>
        </row>
        <row r="454">
          <cell r="A454" t="str">
            <v>JKG65040</v>
          </cell>
        </row>
        <row r="455">
          <cell r="A455" t="str">
            <v>JKG65591</v>
          </cell>
        </row>
        <row r="456">
          <cell r="A456" t="str">
            <v>JTB65057</v>
          </cell>
        </row>
        <row r="457">
          <cell r="A457" t="str">
            <v>JXG65835</v>
          </cell>
        </row>
        <row r="458">
          <cell r="A458" t="str">
            <v>JKB34735G-11</v>
          </cell>
        </row>
        <row r="459">
          <cell r="A459" t="str">
            <v>JKB55686-3</v>
          </cell>
        </row>
        <row r="460">
          <cell r="A460" t="str">
            <v>JXN65477A</v>
          </cell>
        </row>
        <row r="461">
          <cell r="A461" t="str">
            <v>JXN65477B</v>
          </cell>
        </row>
        <row r="462">
          <cell r="A462" t="str">
            <v>JXG65862</v>
          </cell>
        </row>
        <row r="463">
          <cell r="A463" t="str">
            <v>JXN45843-10</v>
          </cell>
        </row>
        <row r="464">
          <cell r="A464" t="str">
            <v>JJN54505-6</v>
          </cell>
        </row>
        <row r="465">
          <cell r="A465" t="str">
            <v>JTN45653G-5</v>
          </cell>
        </row>
        <row r="466">
          <cell r="A466" t="str">
            <v>JYG64856-1</v>
          </cell>
        </row>
        <row r="467">
          <cell r="A467" t="str">
            <v>JYB64858-1</v>
          </cell>
        </row>
        <row r="468">
          <cell r="A468" t="str">
            <v>JRN65667</v>
          </cell>
        </row>
        <row r="469">
          <cell r="A469" t="str">
            <v>JYG54852G-3</v>
          </cell>
        </row>
        <row r="470">
          <cell r="A470" t="str">
            <v>JTB55736-2</v>
          </cell>
        </row>
        <row r="471">
          <cell r="A471" t="str">
            <v>JTB55740-3</v>
          </cell>
        </row>
        <row r="472">
          <cell r="A472" t="str">
            <v>JTG55743-2</v>
          </cell>
        </row>
        <row r="473">
          <cell r="A473" t="str">
            <v>JDG65007</v>
          </cell>
        </row>
        <row r="474">
          <cell r="A474" t="str">
            <v>JHN45565G-7</v>
          </cell>
        </row>
        <row r="475">
          <cell r="A475" t="str">
            <v>JHG54859G-2</v>
          </cell>
        </row>
        <row r="476">
          <cell r="A476" t="str">
            <v>JHN54755-5</v>
          </cell>
        </row>
        <row r="477">
          <cell r="A477" t="str">
            <v>JZN44615G-5</v>
          </cell>
        </row>
        <row r="478">
          <cell r="A478" t="str">
            <v>JHB64867</v>
          </cell>
        </row>
        <row r="479">
          <cell r="A479" t="str">
            <v>JAG64854</v>
          </cell>
        </row>
        <row r="480">
          <cell r="A480" t="str">
            <v>JAG64511</v>
          </cell>
        </row>
        <row r="481">
          <cell r="A481" t="str">
            <v>JDG65071</v>
          </cell>
        </row>
        <row r="482">
          <cell r="A482" t="str">
            <v>JKG55790-6</v>
          </cell>
        </row>
        <row r="483">
          <cell r="A483" t="str">
            <v>JGG45818G-9</v>
          </cell>
        </row>
        <row r="484">
          <cell r="A484" t="str">
            <v>JGG64620</v>
          </cell>
        </row>
        <row r="485">
          <cell r="A485" t="str">
            <v>JJB65808</v>
          </cell>
        </row>
        <row r="486">
          <cell r="A486" t="str">
            <v>JXB65524</v>
          </cell>
        </row>
        <row r="487">
          <cell r="A487" t="str">
            <v>JGN35727G-8</v>
          </cell>
        </row>
        <row r="488">
          <cell r="A488" t="str">
            <v>JAG64509</v>
          </cell>
        </row>
        <row r="489">
          <cell r="A489" t="str">
            <v>JHG63129</v>
          </cell>
        </row>
        <row r="490">
          <cell r="A490" t="str">
            <v>JHN55537-14</v>
          </cell>
        </row>
        <row r="491">
          <cell r="A491" t="str">
            <v>JJB64864</v>
          </cell>
        </row>
        <row r="492">
          <cell r="A492" t="str">
            <v>JAN64506</v>
          </cell>
        </row>
        <row r="493">
          <cell r="A493" t="str">
            <v>JJG64518</v>
          </cell>
        </row>
        <row r="494">
          <cell r="A494" t="str">
            <v>JJG65584</v>
          </cell>
        </row>
        <row r="495">
          <cell r="A495" t="str">
            <v>JJN63325</v>
          </cell>
        </row>
        <row r="496">
          <cell r="A496" t="str">
            <v>JJN65516</v>
          </cell>
        </row>
        <row r="497">
          <cell r="A497" t="str">
            <v>JJN65628</v>
          </cell>
        </row>
        <row r="498">
          <cell r="A498" t="str">
            <v>JJG65048</v>
          </cell>
        </row>
        <row r="499">
          <cell r="A499" t="str">
            <v>JKB65610</v>
          </cell>
        </row>
        <row r="500">
          <cell r="A500" t="str">
            <v>JJG64008</v>
          </cell>
        </row>
        <row r="501">
          <cell r="A501" t="str">
            <v>JKB65858</v>
          </cell>
        </row>
        <row r="502">
          <cell r="A502" t="str">
            <v>JJB65809</v>
          </cell>
        </row>
        <row r="503">
          <cell r="A503" t="str">
            <v>JKG64520</v>
          </cell>
        </row>
        <row r="504">
          <cell r="A504" t="str">
            <v>JKG65073</v>
          </cell>
        </row>
        <row r="505">
          <cell r="A505" t="str">
            <v>JKG65080</v>
          </cell>
        </row>
        <row r="506">
          <cell r="A506" t="str">
            <v>JKG65512</v>
          </cell>
        </row>
        <row r="507">
          <cell r="A507" t="str">
            <v>JJB64607</v>
          </cell>
        </row>
        <row r="508">
          <cell r="A508" t="str">
            <v>JKB65543</v>
          </cell>
        </row>
        <row r="509">
          <cell r="A509" t="str">
            <v>JKG65836</v>
          </cell>
        </row>
        <row r="510">
          <cell r="A510" t="str">
            <v>JTB63933</v>
          </cell>
        </row>
        <row r="511">
          <cell r="A511" t="str">
            <v>JKB65545</v>
          </cell>
        </row>
        <row r="512">
          <cell r="A512" t="str">
            <v>JXB65525</v>
          </cell>
        </row>
        <row r="513">
          <cell r="A513" t="str">
            <v>JHG64847</v>
          </cell>
        </row>
        <row r="514">
          <cell r="A514" t="str">
            <v>JRB65540</v>
          </cell>
        </row>
        <row r="515">
          <cell r="A515" t="str">
            <v>JKN64876</v>
          </cell>
        </row>
        <row r="516">
          <cell r="A516" t="str">
            <v>JKN65661</v>
          </cell>
        </row>
        <row r="517">
          <cell r="A517" t="str">
            <v>JLB65613</v>
          </cell>
        </row>
        <row r="518">
          <cell r="A518" t="str">
            <v>JLB65832</v>
          </cell>
        </row>
        <row r="519">
          <cell r="A519" t="str">
            <v>JLG65587</v>
          </cell>
        </row>
        <row r="520">
          <cell r="A520" t="str">
            <v>JGG65632</v>
          </cell>
        </row>
        <row r="521">
          <cell r="A521" t="str">
            <v>JQG63904</v>
          </cell>
        </row>
        <row r="522">
          <cell r="A522" t="str">
            <v>JQG63915</v>
          </cell>
        </row>
        <row r="523">
          <cell r="A523" t="str">
            <v>JRB65523</v>
          </cell>
        </row>
        <row r="524">
          <cell r="A524" t="str">
            <v>JJG64870</v>
          </cell>
        </row>
        <row r="525">
          <cell r="A525" t="str">
            <v>JRG65656</v>
          </cell>
        </row>
        <row r="526">
          <cell r="A526" t="str">
            <v>JRG65657</v>
          </cell>
        </row>
        <row r="527">
          <cell r="A527" t="str">
            <v>JKB64017</v>
          </cell>
        </row>
        <row r="528">
          <cell r="A528" t="str">
            <v>JHB64832</v>
          </cell>
        </row>
        <row r="529">
          <cell r="A529" t="str">
            <v>JXN65655</v>
          </cell>
        </row>
        <row r="530">
          <cell r="A530" t="str">
            <v>JXG65070</v>
          </cell>
        </row>
        <row r="531">
          <cell r="A531" t="str">
            <v>JXG65654</v>
          </cell>
        </row>
        <row r="532">
          <cell r="A532" t="str">
            <v>JXN65502</v>
          </cell>
        </row>
        <row r="533">
          <cell r="A533" t="str">
            <v>JRB65833</v>
          </cell>
        </row>
        <row r="534">
          <cell r="A534" t="str">
            <v>JXN65847A</v>
          </cell>
        </row>
        <row r="535">
          <cell r="A535" t="str">
            <v>JYB64821</v>
          </cell>
        </row>
        <row r="536">
          <cell r="A536" t="str">
            <v>JYB64822</v>
          </cell>
        </row>
        <row r="537">
          <cell r="A537" t="str">
            <v>JYN64808</v>
          </cell>
        </row>
        <row r="538">
          <cell r="A538" t="str">
            <v>JYN64809</v>
          </cell>
        </row>
        <row r="539">
          <cell r="A539" t="str">
            <v>JYN64826</v>
          </cell>
        </row>
        <row r="540">
          <cell r="A540" t="str">
            <v>JXN65829</v>
          </cell>
        </row>
        <row r="541">
          <cell r="A541" t="str">
            <v>JLG65617</v>
          </cell>
        </row>
        <row r="542">
          <cell r="A542" t="str">
            <v>JYN64805-2</v>
          </cell>
        </row>
        <row r="543">
          <cell r="A543" t="str">
            <v>JXN65847B</v>
          </cell>
        </row>
        <row r="544">
          <cell r="A544" t="str">
            <v>JJG64514</v>
          </cell>
        </row>
        <row r="545">
          <cell r="A545" t="str">
            <v>JGG55509-3</v>
          </cell>
        </row>
        <row r="546">
          <cell r="A546" t="str">
            <v>JQG45888G-11</v>
          </cell>
        </row>
        <row r="547">
          <cell r="A547" t="str">
            <v>JQG55643-5</v>
          </cell>
        </row>
        <row r="548">
          <cell r="A548" t="str">
            <v>JQG55091-11</v>
          </cell>
        </row>
        <row r="549">
          <cell r="A549" t="str">
            <v>JQG55318-4</v>
          </cell>
        </row>
        <row r="550">
          <cell r="A550" t="str">
            <v>JQG55904-9</v>
          </cell>
        </row>
        <row r="551">
          <cell r="A551" t="str">
            <v>JXN65673</v>
          </cell>
        </row>
        <row r="552">
          <cell r="A552" t="str">
            <v>JXN65594</v>
          </cell>
        </row>
        <row r="553">
          <cell r="A553" t="str">
            <v>JJB65042</v>
          </cell>
        </row>
        <row r="554">
          <cell r="A554" t="str">
            <v>JJG54112-3</v>
          </cell>
        </row>
        <row r="555">
          <cell r="A555" t="str">
            <v>JDG65638</v>
          </cell>
        </row>
        <row r="556">
          <cell r="A556" t="str">
            <v>JGG54863-2</v>
          </cell>
        </row>
        <row r="557">
          <cell r="A557" t="str">
            <v>JJN64865</v>
          </cell>
        </row>
        <row r="558">
          <cell r="A558" t="str">
            <v>JTG55555G-3</v>
          </cell>
        </row>
        <row r="559">
          <cell r="A559" t="str">
            <v>JTG55657-3</v>
          </cell>
        </row>
        <row r="560">
          <cell r="A560" t="str">
            <v>JTB55597-7</v>
          </cell>
        </row>
        <row r="561">
          <cell r="A561" t="str">
            <v>JRB65666</v>
          </cell>
        </row>
        <row r="562">
          <cell r="A562" t="str">
            <v>JRG65665</v>
          </cell>
        </row>
        <row r="563">
          <cell r="A563" t="str">
            <v>JDG65675</v>
          </cell>
        </row>
        <row r="564">
          <cell r="A564" t="str">
            <v>JAG64817</v>
          </cell>
        </row>
        <row r="565">
          <cell r="A565" t="str">
            <v>JZN65453</v>
          </cell>
        </row>
        <row r="566">
          <cell r="A566" t="str">
            <v>JJG64866</v>
          </cell>
        </row>
        <row r="567">
          <cell r="A567" t="str">
            <v>JQG65020</v>
          </cell>
        </row>
        <row r="568">
          <cell r="A568" t="str">
            <v>JNG60250</v>
          </cell>
        </row>
        <row r="569">
          <cell r="A569" t="str">
            <v>JAN64505</v>
          </cell>
        </row>
        <row r="570">
          <cell r="A570" t="str">
            <v>JDG65568</v>
          </cell>
        </row>
        <row r="571">
          <cell r="A571" t="str">
            <v>JTG62706-2</v>
          </cell>
        </row>
        <row r="572">
          <cell r="A572" t="str">
            <v>JHN65551</v>
          </cell>
        </row>
        <row r="573">
          <cell r="A573" t="str">
            <v>JHN65560</v>
          </cell>
        </row>
        <row r="574">
          <cell r="A574" t="str">
            <v>JGN65634</v>
          </cell>
        </row>
        <row r="575">
          <cell r="A575" t="str">
            <v>JJB64618</v>
          </cell>
        </row>
        <row r="576">
          <cell r="A576" t="str">
            <v>JKN64609</v>
          </cell>
        </row>
        <row r="577">
          <cell r="A577" t="str">
            <v>JJG64503</v>
          </cell>
        </row>
        <row r="578">
          <cell r="A578" t="str">
            <v>JJG65030</v>
          </cell>
        </row>
        <row r="579">
          <cell r="A579" t="str">
            <v>JJG65501</v>
          </cell>
        </row>
        <row r="580">
          <cell r="A580" t="str">
            <v>JSB42913G-9</v>
          </cell>
        </row>
        <row r="581">
          <cell r="A581" t="str">
            <v>JJG65601</v>
          </cell>
        </row>
        <row r="582">
          <cell r="A582" t="str">
            <v>JJG65830</v>
          </cell>
        </row>
        <row r="583">
          <cell r="A583" t="str">
            <v>JJN65592</v>
          </cell>
        </row>
        <row r="584">
          <cell r="A584" t="str">
            <v>JJN65627</v>
          </cell>
        </row>
        <row r="585">
          <cell r="A585" t="str">
            <v>JJG64009</v>
          </cell>
        </row>
        <row r="586">
          <cell r="A586" t="str">
            <v>JXB53704G-10</v>
          </cell>
        </row>
        <row r="587">
          <cell r="A587" t="str">
            <v>JAN64002</v>
          </cell>
        </row>
        <row r="588">
          <cell r="A588" t="str">
            <v>JJG55702-4</v>
          </cell>
        </row>
        <row r="589">
          <cell r="A589" t="str">
            <v>JDG65017</v>
          </cell>
        </row>
        <row r="590">
          <cell r="A590" t="str">
            <v>JKG65015</v>
          </cell>
        </row>
        <row r="591">
          <cell r="A591" t="str">
            <v>JKG64617</v>
          </cell>
        </row>
        <row r="592">
          <cell r="A592" t="str">
            <v>JJG65527</v>
          </cell>
        </row>
        <row r="593">
          <cell r="A593" t="str">
            <v>JJG65528</v>
          </cell>
        </row>
        <row r="594">
          <cell r="A594" t="str">
            <v>JKG65053</v>
          </cell>
        </row>
        <row r="595">
          <cell r="A595" t="str">
            <v>JKG65521</v>
          </cell>
        </row>
        <row r="596">
          <cell r="A596" t="str">
            <v>JKG65851</v>
          </cell>
        </row>
        <row r="597">
          <cell r="A597" t="str">
            <v>JKN64022</v>
          </cell>
        </row>
        <row r="598">
          <cell r="A598" t="str">
            <v>JKN64522</v>
          </cell>
        </row>
        <row r="599">
          <cell r="A599" t="str">
            <v>JKN65027</v>
          </cell>
        </row>
        <row r="600">
          <cell r="A600" t="str">
            <v>JQG62383</v>
          </cell>
        </row>
        <row r="601">
          <cell r="A601" t="str">
            <v>JKN65662</v>
          </cell>
        </row>
        <row r="602">
          <cell r="A602" t="str">
            <v>JMB65558</v>
          </cell>
        </row>
        <row r="603">
          <cell r="A603" t="str">
            <v>JMG65511</v>
          </cell>
        </row>
        <row r="604">
          <cell r="A604" t="str">
            <v>JMG65845</v>
          </cell>
        </row>
        <row r="605">
          <cell r="A605" t="str">
            <v>JQG45013G-6</v>
          </cell>
        </row>
        <row r="606">
          <cell r="A606" t="str">
            <v>JQG54712-2</v>
          </cell>
        </row>
        <row r="607">
          <cell r="A607" t="str">
            <v>JQG55889-5</v>
          </cell>
        </row>
        <row r="608">
          <cell r="A608" t="str">
            <v>JGN64512</v>
          </cell>
        </row>
        <row r="609">
          <cell r="A609" t="str">
            <v>JHB65575</v>
          </cell>
        </row>
        <row r="610">
          <cell r="A610" t="str">
            <v>JJN65837</v>
          </cell>
        </row>
        <row r="611">
          <cell r="A611" t="str">
            <v>JRG65593</v>
          </cell>
        </row>
        <row r="612">
          <cell r="A612" t="str">
            <v>JRG65616</v>
          </cell>
        </row>
        <row r="613">
          <cell r="A613" t="str">
            <v>JKG52401-6</v>
          </cell>
        </row>
        <row r="614">
          <cell r="A614" t="str">
            <v>JKG65038</v>
          </cell>
        </row>
        <row r="615">
          <cell r="A615" t="str">
            <v>JRN65647</v>
          </cell>
        </row>
        <row r="616">
          <cell r="A616" t="str">
            <v>JKG65621</v>
          </cell>
        </row>
        <row r="617">
          <cell r="A617" t="str">
            <v>JTB65541</v>
          </cell>
        </row>
        <row r="618">
          <cell r="A618" t="str">
            <v>JTG65626</v>
          </cell>
        </row>
        <row r="619">
          <cell r="A619" t="str">
            <v>JSG62921-3</v>
          </cell>
        </row>
        <row r="620">
          <cell r="A620" t="str">
            <v>JYG64823</v>
          </cell>
        </row>
        <row r="621">
          <cell r="A621" t="str">
            <v>JYN64601</v>
          </cell>
        </row>
        <row r="622">
          <cell r="A622" t="str">
            <v>JYN64812</v>
          </cell>
        </row>
        <row r="623">
          <cell r="A623" t="str">
            <v>JYN64848</v>
          </cell>
        </row>
        <row r="624">
          <cell r="A624" t="str">
            <v>JZN65582</v>
          </cell>
        </row>
        <row r="625">
          <cell r="A625" t="str">
            <v>JYN54889G-6</v>
          </cell>
        </row>
        <row r="626">
          <cell r="A626" t="str">
            <v>JZN55865-3</v>
          </cell>
        </row>
        <row r="627">
          <cell r="A627" t="str">
            <v>JKG65032</v>
          </cell>
        </row>
        <row r="628">
          <cell r="A628" t="str">
            <v>JLG65612</v>
          </cell>
        </row>
        <row r="629">
          <cell r="A629" t="str">
            <v>JTG62901-2</v>
          </cell>
        </row>
        <row r="630">
          <cell r="A630" t="str">
            <v>JGN54507-2</v>
          </cell>
        </row>
        <row r="631">
          <cell r="A631" t="str">
            <v>JZN55860-2</v>
          </cell>
        </row>
        <row r="632">
          <cell r="A632" t="str">
            <v>JJG63609</v>
          </cell>
        </row>
        <row r="633">
          <cell r="A633" t="str">
            <v>JTG55631-2</v>
          </cell>
        </row>
        <row r="634">
          <cell r="A634" t="str">
            <v>JQG55630-6</v>
          </cell>
        </row>
        <row r="635">
          <cell r="A635" t="str">
            <v>JTG61744-3</v>
          </cell>
        </row>
        <row r="636">
          <cell r="A636" t="str">
            <v>JEB61865-2</v>
          </cell>
        </row>
        <row r="637">
          <cell r="A637" t="str">
            <v>JQG52927-9</v>
          </cell>
        </row>
        <row r="638">
          <cell r="A638" t="str">
            <v>JQG55678-3</v>
          </cell>
        </row>
        <row r="639">
          <cell r="A639" t="str">
            <v>JTG55747-3</v>
          </cell>
        </row>
        <row r="640">
          <cell r="A640" t="str">
            <v>JDG32107G-11</v>
          </cell>
        </row>
        <row r="641">
          <cell r="A641" t="str">
            <v>JYG44847G-4</v>
          </cell>
        </row>
        <row r="642">
          <cell r="A642" t="str">
            <v>JYG54511G-2</v>
          </cell>
        </row>
        <row r="643">
          <cell r="A643" t="str">
            <v>JYN54027-2</v>
          </cell>
        </row>
        <row r="644">
          <cell r="A644" t="str">
            <v>JZN54102-2</v>
          </cell>
        </row>
        <row r="645">
          <cell r="A645" t="str">
            <v>JJB61731-2</v>
          </cell>
        </row>
        <row r="646">
          <cell r="A646" t="str">
            <v>JTG63678</v>
          </cell>
        </row>
        <row r="647">
          <cell r="A647" t="str">
            <v>JKG45303G-14</v>
          </cell>
        </row>
        <row r="648">
          <cell r="A648" t="str">
            <v>JDG61119-3</v>
          </cell>
        </row>
        <row r="649">
          <cell r="A649" t="str">
            <v>JCG63448</v>
          </cell>
        </row>
        <row r="650">
          <cell r="A650" t="str">
            <v>JTG63945</v>
          </cell>
        </row>
        <row r="651">
          <cell r="A651" t="str">
            <v>JJG55731-6</v>
          </cell>
        </row>
        <row r="652">
          <cell r="A652" t="str">
            <v>JTG63375</v>
          </cell>
        </row>
        <row r="653">
          <cell r="A653" t="str">
            <v>JXG65566</v>
          </cell>
        </row>
        <row r="654">
          <cell r="A654" t="str">
            <v>JAB64615</v>
          </cell>
        </row>
        <row r="655">
          <cell r="A655" t="str">
            <v>JAB64830</v>
          </cell>
        </row>
        <row r="656">
          <cell r="A656" t="str">
            <v>JAG64603</v>
          </cell>
        </row>
        <row r="657">
          <cell r="A657" t="str">
            <v>JAG64815</v>
          </cell>
        </row>
        <row r="658">
          <cell r="A658" t="str">
            <v>JAG64816</v>
          </cell>
        </row>
        <row r="659">
          <cell r="A659" t="str">
            <v>JAN64510</v>
          </cell>
        </row>
        <row r="660">
          <cell r="A660" t="str">
            <v>JAN64819</v>
          </cell>
        </row>
        <row r="661">
          <cell r="A661" t="str">
            <v>JCB65583</v>
          </cell>
        </row>
        <row r="662">
          <cell r="A662" t="str">
            <v>JAB64006</v>
          </cell>
        </row>
        <row r="663">
          <cell r="A663" t="str">
            <v>JGG65022</v>
          </cell>
        </row>
        <row r="664">
          <cell r="A664" t="str">
            <v>JGN64811</v>
          </cell>
        </row>
        <row r="665">
          <cell r="A665" t="str">
            <v>JHB65067</v>
          </cell>
        </row>
        <row r="666">
          <cell r="A666" t="str">
            <v>JHB65510</v>
          </cell>
        </row>
        <row r="667">
          <cell r="A667" t="str">
            <v>JHN65574</v>
          </cell>
        </row>
        <row r="668">
          <cell r="A668" t="str">
            <v>JHN65581</v>
          </cell>
        </row>
        <row r="669">
          <cell r="A669" t="str">
            <v>JJG64021</v>
          </cell>
        </row>
        <row r="670">
          <cell r="A670" t="str">
            <v>JJG64606</v>
          </cell>
        </row>
        <row r="671">
          <cell r="A671" t="str">
            <v>JXG65564</v>
          </cell>
        </row>
        <row r="672">
          <cell r="A672" t="str">
            <v>JJG64877</v>
          </cell>
        </row>
        <row r="673">
          <cell r="A673" t="str">
            <v>JJG65036</v>
          </cell>
        </row>
        <row r="674">
          <cell r="A674" t="str">
            <v>JJG65859</v>
          </cell>
        </row>
        <row r="675">
          <cell r="A675" t="str">
            <v>JJN64015</v>
          </cell>
        </row>
        <row r="676">
          <cell r="A676" t="str">
            <v>JKB65641</v>
          </cell>
        </row>
        <row r="677">
          <cell r="A677" t="str">
            <v>JAG64604</v>
          </cell>
        </row>
        <row r="678">
          <cell r="A678" t="str">
            <v>JKG64010</v>
          </cell>
        </row>
        <row r="679">
          <cell r="A679" t="str">
            <v>JKG64023</v>
          </cell>
        </row>
        <row r="680">
          <cell r="A680" t="str">
            <v>JKG64614</v>
          </cell>
        </row>
        <row r="681">
          <cell r="A681" t="str">
            <v>JKG65023</v>
          </cell>
        </row>
        <row r="682">
          <cell r="A682" t="str">
            <v>JKG65039</v>
          </cell>
        </row>
        <row r="683">
          <cell r="A683" t="str">
            <v>JKG65608</v>
          </cell>
        </row>
        <row r="684">
          <cell r="A684" t="str">
            <v>JKG65660</v>
          </cell>
        </row>
        <row r="685">
          <cell r="A685" t="str">
            <v>JKN64020</v>
          </cell>
        </row>
        <row r="686">
          <cell r="A686" t="str">
            <v>JLG64610</v>
          </cell>
        </row>
        <row r="687">
          <cell r="A687" t="str">
            <v>JMG65041</v>
          </cell>
        </row>
        <row r="688">
          <cell r="A688" t="str">
            <v>JNN65539</v>
          </cell>
        </row>
        <row r="689">
          <cell r="A689" t="str">
            <v>JQG65805</v>
          </cell>
        </row>
        <row r="690">
          <cell r="A690" t="str">
            <v>JRB65648</v>
          </cell>
        </row>
        <row r="691">
          <cell r="A691" t="str">
            <v>JRB65843</v>
          </cell>
        </row>
        <row r="692">
          <cell r="A692" t="str">
            <v>JRG65567</v>
          </cell>
        </row>
        <row r="693">
          <cell r="A693" t="str">
            <v>JAG64813</v>
          </cell>
        </row>
        <row r="694">
          <cell r="A694" t="str">
            <v>JTB65065</v>
          </cell>
        </row>
        <row r="695">
          <cell r="A695" t="str">
            <v>JKB64019</v>
          </cell>
        </row>
        <row r="696">
          <cell r="A696" t="str">
            <v>JRN65637</v>
          </cell>
        </row>
        <row r="697">
          <cell r="A697" t="str">
            <v>JVN64849</v>
          </cell>
        </row>
        <row r="698">
          <cell r="A698" t="str">
            <v>JXB65051</v>
          </cell>
        </row>
        <row r="699">
          <cell r="A699" t="str">
            <v>JJB64513</v>
          </cell>
        </row>
        <row r="700">
          <cell r="A700" t="str">
            <v>JKG64014</v>
          </cell>
        </row>
        <row r="701">
          <cell r="A701" t="str">
            <v>JYG64802</v>
          </cell>
        </row>
        <row r="702">
          <cell r="A702" t="str">
            <v>JYG64803</v>
          </cell>
        </row>
        <row r="703">
          <cell r="A703" t="str">
            <v>JYG64827</v>
          </cell>
        </row>
        <row r="704">
          <cell r="A704" t="str">
            <v>JYN64007</v>
          </cell>
        </row>
        <row r="705">
          <cell r="A705" t="str">
            <v>JYN64804</v>
          </cell>
        </row>
        <row r="706">
          <cell r="A706" t="str">
            <v>JYN64810</v>
          </cell>
        </row>
        <row r="707">
          <cell r="A707" t="str">
            <v>JLG65643</v>
          </cell>
        </row>
        <row r="708">
          <cell r="A708" t="str">
            <v>JQG62101-2</v>
          </cell>
        </row>
        <row r="709">
          <cell r="A709" t="str">
            <v>JJG63028</v>
          </cell>
        </row>
        <row r="710">
          <cell r="A710" t="str">
            <v>JTG62576-4</v>
          </cell>
        </row>
        <row r="711">
          <cell r="A711" t="str">
            <v>JKG63049B</v>
          </cell>
        </row>
        <row r="712">
          <cell r="A712" t="str">
            <v>JHG55018-2</v>
          </cell>
        </row>
        <row r="713">
          <cell r="A713" t="str">
            <v>JYN54804-9</v>
          </cell>
        </row>
        <row r="714">
          <cell r="A714" t="str">
            <v>JYN54842-5</v>
          </cell>
        </row>
        <row r="715">
          <cell r="A715" t="str">
            <v>JYN64814A-1</v>
          </cell>
        </row>
        <row r="716">
          <cell r="A716" t="str">
            <v>JZN44039-8</v>
          </cell>
        </row>
        <row r="717">
          <cell r="A717" t="str">
            <v>JJG65870</v>
          </cell>
        </row>
        <row r="718">
          <cell r="A718" t="str">
            <v>JJN65873</v>
          </cell>
        </row>
        <row r="719">
          <cell r="A719" t="str">
            <v>JKN65874</v>
          </cell>
        </row>
        <row r="720">
          <cell r="A720" t="str">
            <v>JHB65883</v>
          </cell>
        </row>
        <row r="721">
          <cell r="A721" t="str">
            <v>JJB64885</v>
          </cell>
        </row>
        <row r="722">
          <cell r="A722" t="str">
            <v>JYG64807-1</v>
          </cell>
        </row>
        <row r="723">
          <cell r="A723" t="str">
            <v>JYN64805-1</v>
          </cell>
        </row>
        <row r="724">
          <cell r="A724" t="str">
            <v>JJB64883</v>
          </cell>
        </row>
        <row r="725">
          <cell r="A725" t="str">
            <v>JTG63514</v>
          </cell>
        </row>
        <row r="726">
          <cell r="A726" t="str">
            <v>JJN64619</v>
          </cell>
        </row>
        <row r="727">
          <cell r="A727" t="str">
            <v>JXB65671</v>
          </cell>
        </row>
        <row r="728">
          <cell r="A728" t="str">
            <v>JTG65680</v>
          </cell>
        </row>
        <row r="729">
          <cell r="A729" t="str">
            <v>JQG53066-3</v>
          </cell>
        </row>
        <row r="730">
          <cell r="A730" t="str">
            <v>JTB65681</v>
          </cell>
        </row>
        <row r="731">
          <cell r="A731" t="str">
            <v>JXG63050</v>
          </cell>
        </row>
        <row r="732">
          <cell r="A732" t="str">
            <v>JHG65518</v>
          </cell>
        </row>
        <row r="733">
          <cell r="A733" t="str">
            <v>JMG65578</v>
          </cell>
        </row>
        <row r="734">
          <cell r="A734" t="str">
            <v>JJG63861</v>
          </cell>
        </row>
        <row r="735">
          <cell r="A735" t="str">
            <v>JXN65599</v>
          </cell>
        </row>
        <row r="736">
          <cell r="A736" t="str">
            <v>JJN65458</v>
          </cell>
        </row>
        <row r="737">
          <cell r="A737" t="str">
            <v>JJG65471</v>
          </cell>
        </row>
        <row r="738">
          <cell r="A738" t="str">
            <v>JLG65462</v>
          </cell>
        </row>
        <row r="739">
          <cell r="A739" t="str">
            <v>JKN65463</v>
          </cell>
        </row>
        <row r="740">
          <cell r="A740" t="str">
            <v>JKN65094</v>
          </cell>
        </row>
        <row r="741">
          <cell r="A741" t="str">
            <v>JLG65096</v>
          </cell>
        </row>
        <row r="742">
          <cell r="A742" t="str">
            <v>JDG65097</v>
          </cell>
        </row>
        <row r="743">
          <cell r="A743" t="str">
            <v>JXG65098</v>
          </cell>
        </row>
        <row r="744">
          <cell r="A744" t="str">
            <v>JEG62803-4</v>
          </cell>
        </row>
        <row r="745">
          <cell r="A745" t="str">
            <v>JKG64094</v>
          </cell>
        </row>
        <row r="746">
          <cell r="A746" t="str">
            <v>JMN65046</v>
          </cell>
        </row>
        <row r="747">
          <cell r="A747" t="str">
            <v>JMG65018</v>
          </cell>
        </row>
        <row r="748">
          <cell r="A748" t="str">
            <v>JLG65111</v>
          </cell>
        </row>
        <row r="749">
          <cell r="A749" t="str">
            <v>JHN65114</v>
          </cell>
        </row>
        <row r="750">
          <cell r="A750" t="str">
            <v>JTB65888</v>
          </cell>
        </row>
        <row r="751">
          <cell r="A751" t="str">
            <v>JSB52080G-7</v>
          </cell>
        </row>
        <row r="752">
          <cell r="A752" t="str">
            <v>JAN64890</v>
          </cell>
        </row>
        <row r="753">
          <cell r="A753" t="str">
            <v>JJG55919G-4</v>
          </cell>
        </row>
        <row r="754">
          <cell r="A754" t="str">
            <v>JAG64891</v>
          </cell>
        </row>
        <row r="755">
          <cell r="A755" t="str">
            <v>JXG65476</v>
          </cell>
        </row>
        <row r="756">
          <cell r="A756" t="str">
            <v>JXN65475</v>
          </cell>
        </row>
        <row r="757">
          <cell r="A757" t="str">
            <v>JKG63585</v>
          </cell>
        </row>
        <row r="758">
          <cell r="A758" t="str">
            <v>JZN65474</v>
          </cell>
        </row>
        <row r="759">
          <cell r="A759" t="str">
            <v>JGG64878</v>
          </cell>
        </row>
        <row r="760">
          <cell r="A760" t="str">
            <v>JJB64516</v>
          </cell>
        </row>
        <row r="761">
          <cell r="A761" t="str">
            <v>JJG64879</v>
          </cell>
        </row>
        <row r="762">
          <cell r="A762" t="str">
            <v>JKG63080</v>
          </cell>
        </row>
        <row r="763">
          <cell r="A763" t="str">
            <v>JLB63373</v>
          </cell>
        </row>
        <row r="764">
          <cell r="A764" t="str">
            <v>JLG63068</v>
          </cell>
        </row>
        <row r="765">
          <cell r="A765" t="str">
            <v>JQG63590</v>
          </cell>
        </row>
        <row r="766">
          <cell r="A766" t="str">
            <v>JJN63844</v>
          </cell>
        </row>
        <row r="767">
          <cell r="A767" t="str">
            <v>JKN63438A</v>
          </cell>
        </row>
        <row r="768">
          <cell r="A768" t="str">
            <v>JYG64501</v>
          </cell>
        </row>
        <row r="769">
          <cell r="A769" t="str">
            <v>JYG64502</v>
          </cell>
        </row>
        <row r="770">
          <cell r="A770" t="str">
            <v>JQG63130</v>
          </cell>
        </row>
        <row r="771">
          <cell r="A771" t="str">
            <v>JQG65081</v>
          </cell>
        </row>
        <row r="772">
          <cell r="A772" t="str">
            <v>JKN63438B</v>
          </cell>
        </row>
        <row r="773">
          <cell r="A773" t="str">
            <v>JRB63495</v>
          </cell>
        </row>
        <row r="774">
          <cell r="A774" t="str">
            <v>JJN63364</v>
          </cell>
        </row>
        <row r="775">
          <cell r="A775" t="str">
            <v>JAG64842</v>
          </cell>
        </row>
        <row r="776">
          <cell r="A776" t="str">
            <v>JRG63947</v>
          </cell>
        </row>
        <row r="777">
          <cell r="A777" t="str">
            <v>JAN64005</v>
          </cell>
        </row>
        <row r="778">
          <cell r="A778" t="str">
            <v>JDG65076</v>
          </cell>
        </row>
        <row r="779">
          <cell r="A779" t="str">
            <v>JGB65840</v>
          </cell>
        </row>
        <row r="780">
          <cell r="A780" t="str">
            <v>JGG64845</v>
          </cell>
        </row>
        <row r="781">
          <cell r="A781" t="str">
            <v>JGG65854</v>
          </cell>
        </row>
        <row r="782">
          <cell r="A782" t="str">
            <v>JHB64862</v>
          </cell>
        </row>
        <row r="783">
          <cell r="A783" t="str">
            <v>JJG55872-3</v>
          </cell>
        </row>
        <row r="784">
          <cell r="A784" t="str">
            <v>JJG63423</v>
          </cell>
        </row>
        <row r="785">
          <cell r="A785" t="str">
            <v>JHN55537-15</v>
          </cell>
        </row>
        <row r="786">
          <cell r="A786" t="str">
            <v>JHN64011</v>
          </cell>
        </row>
        <row r="787">
          <cell r="A787" t="str">
            <v>JJB64016</v>
          </cell>
        </row>
        <row r="788">
          <cell r="A788" t="str">
            <v>JYN64806-1</v>
          </cell>
        </row>
        <row r="789">
          <cell r="A789" t="str">
            <v>JYN64808-1</v>
          </cell>
        </row>
        <row r="790">
          <cell r="A790" t="str">
            <v>JYN54802-2</v>
          </cell>
        </row>
        <row r="791">
          <cell r="A791" t="str">
            <v>JJB64616</v>
          </cell>
        </row>
        <row r="792">
          <cell r="A792" t="str">
            <v>JJB65860</v>
          </cell>
        </row>
        <row r="793">
          <cell r="A793" t="str">
            <v>JJB65867</v>
          </cell>
        </row>
        <row r="794">
          <cell r="A794" t="str">
            <v>JJG64612</v>
          </cell>
        </row>
        <row r="795">
          <cell r="A795" t="str">
            <v>JKG45005G-8</v>
          </cell>
        </row>
        <row r="796">
          <cell r="A796" t="str">
            <v>JJB65605</v>
          </cell>
        </row>
        <row r="797">
          <cell r="A797" t="str">
            <v>JJG65849</v>
          </cell>
        </row>
        <row r="798">
          <cell r="A798" t="str">
            <v>JJG65865</v>
          </cell>
        </row>
        <row r="799">
          <cell r="A799" t="str">
            <v>JJG65866</v>
          </cell>
        </row>
        <row r="800">
          <cell r="A800" t="str">
            <v>JKG55714-10</v>
          </cell>
        </row>
        <row r="801">
          <cell r="A801" t="str">
            <v>JKB65571</v>
          </cell>
        </row>
        <row r="802">
          <cell r="A802" t="str">
            <v>JKG55829-4</v>
          </cell>
        </row>
        <row r="803">
          <cell r="A803" t="str">
            <v>JKG65607</v>
          </cell>
        </row>
        <row r="804">
          <cell r="A804" t="str">
            <v>JKG65639</v>
          </cell>
        </row>
        <row r="805">
          <cell r="A805" t="str">
            <v>JKN65569</v>
          </cell>
        </row>
        <row r="806">
          <cell r="A806" t="str">
            <v>JKN65570</v>
          </cell>
        </row>
        <row r="807">
          <cell r="A807" t="str">
            <v>JKB65045</v>
          </cell>
        </row>
        <row r="808">
          <cell r="A808" t="str">
            <v>JQG63938</v>
          </cell>
        </row>
        <row r="809">
          <cell r="A809" t="str">
            <v>JTG65513</v>
          </cell>
        </row>
        <row r="810">
          <cell r="A810" t="str">
            <v>JLG65049</v>
          </cell>
        </row>
        <row r="811">
          <cell r="A811" t="str">
            <v>JDG45007H-6</v>
          </cell>
        </row>
        <row r="812">
          <cell r="A812" t="str">
            <v>JMB65828</v>
          </cell>
        </row>
        <row r="813">
          <cell r="A813" t="str">
            <v>JMG65517</v>
          </cell>
        </row>
        <row r="814">
          <cell r="A814" t="str">
            <v>JMG65519</v>
          </cell>
        </row>
        <row r="815">
          <cell r="A815" t="str">
            <v>JMG65535</v>
          </cell>
        </row>
        <row r="816">
          <cell r="A816" t="str">
            <v>JYN54898-5</v>
          </cell>
        </row>
        <row r="817">
          <cell r="A817" t="str">
            <v>JQG65069</v>
          </cell>
        </row>
        <row r="818">
          <cell r="A818" t="str">
            <v>JQG65855</v>
          </cell>
        </row>
        <row r="819">
          <cell r="A819" t="str">
            <v>JYG54825-2</v>
          </cell>
        </row>
        <row r="820">
          <cell r="A820" t="str">
            <v>JDG65031</v>
          </cell>
        </row>
        <row r="821">
          <cell r="A821" t="str">
            <v>JRG65818</v>
          </cell>
        </row>
        <row r="822">
          <cell r="A822" t="str">
            <v>JKN45056G-6</v>
          </cell>
        </row>
        <row r="823">
          <cell r="A823" t="str">
            <v>JJG64872</v>
          </cell>
        </row>
        <row r="824">
          <cell r="A824" t="str">
            <v>JJG65603</v>
          </cell>
        </row>
        <row r="825">
          <cell r="A825" t="str">
            <v>JJG65817</v>
          </cell>
        </row>
        <row r="826">
          <cell r="A826" t="str">
            <v>JQG65576</v>
          </cell>
        </row>
        <row r="827">
          <cell r="A827" t="str">
            <v>JQG65825</v>
          </cell>
        </row>
        <row r="828">
          <cell r="A828" t="str">
            <v>JRG65606</v>
          </cell>
        </row>
        <row r="829">
          <cell r="A829" t="str">
            <v>JTB65043</v>
          </cell>
        </row>
        <row r="830">
          <cell r="A830" t="str">
            <v>JYG64840</v>
          </cell>
        </row>
        <row r="831">
          <cell r="A831" t="str">
            <v>JYG64844</v>
          </cell>
        </row>
        <row r="832">
          <cell r="A832" t="str">
            <v>JYG64852</v>
          </cell>
        </row>
        <row r="833">
          <cell r="A833" t="str">
            <v>JYG64863</v>
          </cell>
        </row>
        <row r="834">
          <cell r="A834" t="str">
            <v>JDG65037</v>
          </cell>
        </row>
        <row r="835">
          <cell r="A835" t="str">
            <v>JJG65864</v>
          </cell>
        </row>
        <row r="836">
          <cell r="A836" t="str">
            <v>JQG65846</v>
          </cell>
        </row>
        <row r="837">
          <cell r="A837" t="str">
            <v>JYG64838</v>
          </cell>
        </row>
        <row r="838">
          <cell r="A838" t="str">
            <v>JYG64839</v>
          </cell>
        </row>
        <row r="839">
          <cell r="A839" t="str">
            <v>JTG55936-3</v>
          </cell>
        </row>
        <row r="840">
          <cell r="A840" t="str">
            <v>JQG65857</v>
          </cell>
        </row>
        <row r="841">
          <cell r="A841" t="str">
            <v>JRG65077</v>
          </cell>
        </row>
        <row r="842">
          <cell r="A842" t="str">
            <v>JLB65044</v>
          </cell>
        </row>
        <row r="843">
          <cell r="A843" t="str">
            <v>JYG64801</v>
          </cell>
        </row>
        <row r="844">
          <cell r="A844" t="str">
            <v>JYG64825</v>
          </cell>
        </row>
        <row r="845">
          <cell r="A845" t="str">
            <v>JAB64001</v>
          </cell>
        </row>
        <row r="846">
          <cell r="A846" t="str">
            <v>JTB63809</v>
          </cell>
        </row>
        <row r="847">
          <cell r="A847" t="str">
            <v>JRG63126</v>
          </cell>
        </row>
        <row r="848">
          <cell r="A848" t="str">
            <v>JTG63913</v>
          </cell>
        </row>
        <row r="849">
          <cell r="A849" t="str">
            <v>JKG44060-8</v>
          </cell>
        </row>
        <row r="850">
          <cell r="A850" t="str">
            <v>JGN55875-6</v>
          </cell>
        </row>
        <row r="851">
          <cell r="A851" t="str">
            <v>JLG63697</v>
          </cell>
        </row>
        <row r="852">
          <cell r="A852" t="str">
            <v>JTG63648</v>
          </cell>
        </row>
        <row r="853">
          <cell r="A853" t="str">
            <v>JXN55761G-5</v>
          </cell>
        </row>
        <row r="854">
          <cell r="A854" t="str">
            <v>JXN55768-4</v>
          </cell>
        </row>
        <row r="855">
          <cell r="A855" t="str">
            <v>JCG63025</v>
          </cell>
        </row>
        <row r="856">
          <cell r="A856" t="str">
            <v>JCG63378</v>
          </cell>
        </row>
        <row r="857">
          <cell r="A857" t="str">
            <v>JRN63125</v>
          </cell>
        </row>
        <row r="858">
          <cell r="A858" t="str">
            <v>JCG63579</v>
          </cell>
        </row>
        <row r="859">
          <cell r="A859" t="str">
            <v>JCG63892</v>
          </cell>
        </row>
        <row r="860">
          <cell r="A860" t="str">
            <v>JTG61656-2</v>
          </cell>
        </row>
        <row r="861">
          <cell r="A861" t="str">
            <v>JTG55554-6</v>
          </cell>
        </row>
        <row r="862">
          <cell r="A862" t="str">
            <v>JEG62924-1</v>
          </cell>
        </row>
        <row r="863">
          <cell r="A863" t="str">
            <v>JTG61806-3</v>
          </cell>
        </row>
        <row r="864">
          <cell r="A864" t="str">
            <v>JXB53017-5</v>
          </cell>
        </row>
        <row r="865">
          <cell r="A865" t="str">
            <v>JDG63048</v>
          </cell>
        </row>
        <row r="866">
          <cell r="A866" t="str">
            <v>JGB63646</v>
          </cell>
        </row>
        <row r="867">
          <cell r="A867" t="str">
            <v>JDG63111</v>
          </cell>
        </row>
        <row r="868">
          <cell r="A868" t="str">
            <v>JDG63383</v>
          </cell>
        </row>
        <row r="869">
          <cell r="A869" t="str">
            <v>JDG63384</v>
          </cell>
        </row>
        <row r="870">
          <cell r="A870" t="str">
            <v>JDG63457</v>
          </cell>
        </row>
        <row r="871">
          <cell r="A871" t="str">
            <v>JQG45738G-12</v>
          </cell>
        </row>
        <row r="872">
          <cell r="A872" t="str">
            <v>JJG63662</v>
          </cell>
        </row>
        <row r="873">
          <cell r="A873" t="str">
            <v>JKG14852H-13</v>
          </cell>
        </row>
        <row r="874">
          <cell r="A874" t="str">
            <v>JKG55779-5</v>
          </cell>
        </row>
        <row r="875">
          <cell r="A875" t="str">
            <v>JLG62339-3</v>
          </cell>
        </row>
        <row r="876">
          <cell r="A876" t="str">
            <v>JGB41676G-5</v>
          </cell>
        </row>
        <row r="877">
          <cell r="A877" t="str">
            <v>JQG51902G-2</v>
          </cell>
        </row>
        <row r="878">
          <cell r="A878" t="str">
            <v>JEG61105-1</v>
          </cell>
        </row>
        <row r="879">
          <cell r="A879" t="str">
            <v>JKB65810</v>
          </cell>
        </row>
        <row r="880">
          <cell r="A880" t="str">
            <v>JGB63046</v>
          </cell>
        </row>
        <row r="881">
          <cell r="A881" t="str">
            <v>JGB63076</v>
          </cell>
        </row>
        <row r="882">
          <cell r="A882" t="str">
            <v>JGB63619</v>
          </cell>
        </row>
        <row r="883">
          <cell r="A883" t="str">
            <v>JRG43826G-10</v>
          </cell>
        </row>
        <row r="884">
          <cell r="A884" t="str">
            <v>JSG52949G-13</v>
          </cell>
        </row>
        <row r="885">
          <cell r="A885" t="str">
            <v>JGG55607-2</v>
          </cell>
        </row>
        <row r="886">
          <cell r="A886" t="str">
            <v>JGG63027</v>
          </cell>
        </row>
        <row r="887">
          <cell r="A887" t="str">
            <v>JGG63075</v>
          </cell>
        </row>
        <row r="888">
          <cell r="A888" t="str">
            <v>JGG63377</v>
          </cell>
        </row>
        <row r="889">
          <cell r="A889" t="str">
            <v>JGG63519</v>
          </cell>
        </row>
        <row r="890">
          <cell r="A890" t="str">
            <v>JGG63606</v>
          </cell>
        </row>
        <row r="891">
          <cell r="A891" t="str">
            <v>JTG63486</v>
          </cell>
        </row>
        <row r="892">
          <cell r="A892" t="str">
            <v>JGN45841-12</v>
          </cell>
        </row>
        <row r="893">
          <cell r="A893" t="str">
            <v>JGG63687</v>
          </cell>
        </row>
        <row r="894">
          <cell r="A894" t="str">
            <v>JHB63868</v>
          </cell>
        </row>
        <row r="895">
          <cell r="A895" t="str">
            <v>JXB65636</v>
          </cell>
        </row>
        <row r="896">
          <cell r="A896" t="str">
            <v>JCG62813-3</v>
          </cell>
        </row>
        <row r="897">
          <cell r="A897" t="str">
            <v>JJG63670</v>
          </cell>
        </row>
        <row r="898">
          <cell r="A898" t="str">
            <v>JDG61826-2</v>
          </cell>
        </row>
        <row r="899">
          <cell r="A899" t="str">
            <v>JHG63121</v>
          </cell>
        </row>
        <row r="900">
          <cell r="A900" t="str">
            <v>JEB61569-2</v>
          </cell>
        </row>
        <row r="901">
          <cell r="A901" t="str">
            <v>JSB32938K-21</v>
          </cell>
        </row>
        <row r="902">
          <cell r="A902" t="str">
            <v>JKG62928-3</v>
          </cell>
        </row>
        <row r="903">
          <cell r="A903" t="str">
            <v>JLB63508</v>
          </cell>
        </row>
        <row r="904">
          <cell r="A904" t="str">
            <v>JHN63491</v>
          </cell>
        </row>
        <row r="905">
          <cell r="A905" t="str">
            <v>JRG61679-2</v>
          </cell>
        </row>
        <row r="906">
          <cell r="A906" t="str">
            <v>JJB63070</v>
          </cell>
        </row>
        <row r="907">
          <cell r="A907" t="str">
            <v>JSG62848-5</v>
          </cell>
        </row>
        <row r="908">
          <cell r="A908" t="str">
            <v>JJB63618</v>
          </cell>
        </row>
        <row r="909">
          <cell r="A909" t="str">
            <v>JJB63640</v>
          </cell>
        </row>
        <row r="910">
          <cell r="A910" t="str">
            <v>JJB63650</v>
          </cell>
        </row>
        <row r="911">
          <cell r="A911" t="str">
            <v>JJB63665</v>
          </cell>
        </row>
        <row r="912">
          <cell r="A912" t="str">
            <v>JTG52366-8</v>
          </cell>
        </row>
        <row r="913">
          <cell r="A913" t="str">
            <v>JKG55628-7</v>
          </cell>
        </row>
        <row r="914">
          <cell r="A914" t="str">
            <v>JTG62689-3</v>
          </cell>
        </row>
        <row r="915">
          <cell r="A915" t="str">
            <v>JXG53604-5</v>
          </cell>
        </row>
        <row r="916">
          <cell r="A916" t="str">
            <v>JJG54523-4</v>
          </cell>
        </row>
        <row r="917">
          <cell r="A917" t="str">
            <v>JXG63010</v>
          </cell>
        </row>
        <row r="918">
          <cell r="A918" t="str">
            <v>JKG24038H-9</v>
          </cell>
        </row>
        <row r="919">
          <cell r="A919" t="str">
            <v>JZG35102H-9</v>
          </cell>
        </row>
        <row r="920">
          <cell r="A920" t="str">
            <v>JTG63598</v>
          </cell>
        </row>
        <row r="921">
          <cell r="A921" t="str">
            <v>JTG620091Y-2</v>
          </cell>
        </row>
        <row r="922">
          <cell r="A922" t="str">
            <v>JTG62020-9</v>
          </cell>
        </row>
        <row r="923">
          <cell r="A923" t="str">
            <v>JJG63004</v>
          </cell>
        </row>
        <row r="924">
          <cell r="A924" t="str">
            <v>JJG63034</v>
          </cell>
        </row>
        <row r="925">
          <cell r="A925" t="str">
            <v>JJG63042</v>
          </cell>
        </row>
        <row r="926">
          <cell r="A926" t="str">
            <v>JNB60503</v>
          </cell>
        </row>
        <row r="927">
          <cell r="A927" t="str">
            <v>JXG63103</v>
          </cell>
        </row>
        <row r="928">
          <cell r="A928" t="str">
            <v>JJG63060</v>
          </cell>
        </row>
        <row r="929">
          <cell r="A929" t="str">
            <v>JJG63062</v>
          </cell>
        </row>
        <row r="930">
          <cell r="A930" t="str">
            <v>JJG63456</v>
          </cell>
        </row>
        <row r="931">
          <cell r="A931" t="str">
            <v>JJG63558</v>
          </cell>
        </row>
        <row r="932">
          <cell r="A932" t="str">
            <v>JTN62349-1</v>
          </cell>
        </row>
        <row r="933">
          <cell r="A933" t="str">
            <v>JJG63631</v>
          </cell>
        </row>
        <row r="934">
          <cell r="A934" t="str">
            <v>JJG63632</v>
          </cell>
        </row>
        <row r="935">
          <cell r="A935" t="str">
            <v>JJG63641</v>
          </cell>
        </row>
        <row r="936">
          <cell r="A936" t="str">
            <v>JJG63664</v>
          </cell>
        </row>
        <row r="937">
          <cell r="A937" t="str">
            <v>JJG63671</v>
          </cell>
        </row>
        <row r="938">
          <cell r="A938" t="str">
            <v>JJG63694</v>
          </cell>
        </row>
        <row r="939">
          <cell r="A939" t="str">
            <v>JJG63817</v>
          </cell>
        </row>
        <row r="940">
          <cell r="A940" t="str">
            <v>JJG63819</v>
          </cell>
        </row>
        <row r="941">
          <cell r="A941" t="str">
            <v>JJG63846</v>
          </cell>
        </row>
        <row r="942">
          <cell r="A942" t="str">
            <v>JJG63847</v>
          </cell>
        </row>
        <row r="943">
          <cell r="A943" t="str">
            <v>JJG63863</v>
          </cell>
        </row>
        <row r="944">
          <cell r="A944" t="str">
            <v>JJG63874</v>
          </cell>
        </row>
        <row r="945">
          <cell r="A945" t="str">
            <v>JJG63876</v>
          </cell>
        </row>
        <row r="946">
          <cell r="A946" t="str">
            <v>JJG63898</v>
          </cell>
        </row>
        <row r="947">
          <cell r="A947" t="str">
            <v>JJG65001</v>
          </cell>
        </row>
        <row r="948">
          <cell r="A948" t="str">
            <v>JJN45128-7</v>
          </cell>
        </row>
        <row r="949">
          <cell r="A949" t="str">
            <v>JJG52216B-2</v>
          </cell>
        </row>
        <row r="950">
          <cell r="A950" t="str">
            <v>JTG620091Y-1</v>
          </cell>
        </row>
        <row r="951">
          <cell r="A951" t="str">
            <v>JRB65604</v>
          </cell>
        </row>
        <row r="952">
          <cell r="A952" t="str">
            <v>JKG52817-10</v>
          </cell>
        </row>
        <row r="953">
          <cell r="A953" t="str">
            <v>JXG62918-2</v>
          </cell>
        </row>
        <row r="954">
          <cell r="A954" t="str">
            <v>JTG61073-2</v>
          </cell>
        </row>
        <row r="955">
          <cell r="A955" t="str">
            <v>JJN53751-7</v>
          </cell>
        </row>
        <row r="956">
          <cell r="A956" t="str">
            <v>JTG620001Y-1</v>
          </cell>
        </row>
        <row r="957">
          <cell r="A957" t="str">
            <v>JTG620001Y-3</v>
          </cell>
        </row>
        <row r="958">
          <cell r="A958" t="str">
            <v>JZN55522-2</v>
          </cell>
        </row>
        <row r="959">
          <cell r="A959" t="str">
            <v>JRG61702G-2</v>
          </cell>
        </row>
        <row r="960">
          <cell r="A960" t="str">
            <v>JJN61879-2</v>
          </cell>
        </row>
        <row r="961">
          <cell r="A961" t="str">
            <v>JHG41008-6</v>
          </cell>
        </row>
        <row r="962">
          <cell r="A962" t="str">
            <v>JTG61527-3</v>
          </cell>
        </row>
        <row r="963">
          <cell r="A963" t="str">
            <v>JJN63818</v>
          </cell>
        </row>
        <row r="964">
          <cell r="A964" t="str">
            <v>JKB63510</v>
          </cell>
        </row>
        <row r="965">
          <cell r="A965" t="str">
            <v>JNG60251</v>
          </cell>
        </row>
        <row r="966">
          <cell r="A966" t="str">
            <v>JTN63395</v>
          </cell>
        </row>
        <row r="967">
          <cell r="A967" t="str">
            <v>JXG63392</v>
          </cell>
        </row>
        <row r="968">
          <cell r="A968" t="str">
            <v>JKB63352</v>
          </cell>
        </row>
        <row r="969">
          <cell r="A969" t="str">
            <v>JKB63372</v>
          </cell>
        </row>
        <row r="970">
          <cell r="A970" t="str">
            <v>JJN62815-8</v>
          </cell>
        </row>
        <row r="971">
          <cell r="A971" t="str">
            <v>JKB63620</v>
          </cell>
        </row>
        <row r="972">
          <cell r="A972" t="str">
            <v>JKB63688</v>
          </cell>
        </row>
        <row r="973">
          <cell r="A973" t="str">
            <v>JAG64831</v>
          </cell>
        </row>
        <row r="974">
          <cell r="A974" t="str">
            <v>JCG51068-6</v>
          </cell>
        </row>
        <row r="975">
          <cell r="A975" t="str">
            <v>JKG55170-5</v>
          </cell>
        </row>
        <row r="976">
          <cell r="A976" t="str">
            <v>JKG55765-6</v>
          </cell>
        </row>
        <row r="977">
          <cell r="A977" t="str">
            <v>JCG62868-2</v>
          </cell>
        </row>
        <row r="978">
          <cell r="A978" t="str">
            <v>JQG53872-2</v>
          </cell>
        </row>
        <row r="979">
          <cell r="A979" t="str">
            <v>JTG62796-1</v>
          </cell>
        </row>
        <row r="980">
          <cell r="A980" t="str">
            <v>JDG51827H-9</v>
          </cell>
        </row>
        <row r="981">
          <cell r="A981" t="str">
            <v>JDG52657-12</v>
          </cell>
        </row>
        <row r="982">
          <cell r="A982" t="str">
            <v>JQG51725-4</v>
          </cell>
        </row>
        <row r="983">
          <cell r="A983" t="str">
            <v>JKG63026</v>
          </cell>
        </row>
        <row r="984">
          <cell r="A984" t="str">
            <v>JKG63351</v>
          </cell>
        </row>
        <row r="985">
          <cell r="A985" t="str">
            <v>JKG63371</v>
          </cell>
        </row>
        <row r="986">
          <cell r="A986" t="str">
            <v>JKG63415</v>
          </cell>
        </row>
        <row r="987">
          <cell r="A987" t="str">
            <v>JKG63458</v>
          </cell>
        </row>
        <row r="988">
          <cell r="A988" t="str">
            <v>JKG63466</v>
          </cell>
        </row>
        <row r="989">
          <cell r="A989" t="str">
            <v>JKG63477</v>
          </cell>
        </row>
        <row r="990">
          <cell r="A990" t="str">
            <v>JKG63521</v>
          </cell>
        </row>
        <row r="991">
          <cell r="A991" t="str">
            <v>JKG63583</v>
          </cell>
        </row>
        <row r="992">
          <cell r="A992" t="str">
            <v>JKG63591</v>
          </cell>
        </row>
        <row r="993">
          <cell r="A993" t="str">
            <v>JKG63626</v>
          </cell>
        </row>
        <row r="994">
          <cell r="A994" t="str">
            <v>JKG63658</v>
          </cell>
        </row>
        <row r="995">
          <cell r="A995" t="str">
            <v>JKG63682</v>
          </cell>
        </row>
        <row r="996">
          <cell r="A996" t="str">
            <v>JKG63887</v>
          </cell>
        </row>
        <row r="997">
          <cell r="A997" t="str">
            <v>JTG62839-6</v>
          </cell>
        </row>
        <row r="998">
          <cell r="A998" t="str">
            <v>JKG65803</v>
          </cell>
        </row>
        <row r="999">
          <cell r="A999" t="str">
            <v>JEB43676G-5</v>
          </cell>
        </row>
        <row r="1000">
          <cell r="A1000" t="str">
            <v>JKG64608</v>
          </cell>
        </row>
        <row r="1001">
          <cell r="A1001" t="str">
            <v>JEB62804-2</v>
          </cell>
        </row>
        <row r="1002">
          <cell r="A1002" t="str">
            <v>JGG53670-9</v>
          </cell>
        </row>
        <row r="1003">
          <cell r="A1003" t="str">
            <v>JHG31016H-16</v>
          </cell>
        </row>
        <row r="1004">
          <cell r="A1004" t="str">
            <v>JKB65611</v>
          </cell>
        </row>
        <row r="1005">
          <cell r="A1005" t="str">
            <v>JKN63494</v>
          </cell>
        </row>
        <row r="1006">
          <cell r="A1006" t="str">
            <v>JTG62627-3</v>
          </cell>
        </row>
        <row r="1007">
          <cell r="A1007" t="str">
            <v>JCB63644</v>
          </cell>
        </row>
        <row r="1008">
          <cell r="A1008" t="str">
            <v>JKG53047-4</v>
          </cell>
        </row>
        <row r="1009">
          <cell r="A1009" t="str">
            <v>JLB63699</v>
          </cell>
        </row>
        <row r="1010">
          <cell r="A1010" t="str">
            <v>JDG55457-4</v>
          </cell>
        </row>
        <row r="1011">
          <cell r="A1011" t="str">
            <v>JQG62668G-18</v>
          </cell>
        </row>
        <row r="1012">
          <cell r="A1012" t="str">
            <v>JSG32932H-13</v>
          </cell>
        </row>
        <row r="1013">
          <cell r="A1013" t="str">
            <v>JRG63389</v>
          </cell>
        </row>
        <row r="1014">
          <cell r="A1014" t="str">
            <v>JDG63069</v>
          </cell>
        </row>
        <row r="1015">
          <cell r="A1015" t="str">
            <v>JDG63492</v>
          </cell>
        </row>
        <row r="1016">
          <cell r="A1016" t="str">
            <v>JDG63503</v>
          </cell>
        </row>
        <row r="1017">
          <cell r="A1017" t="str">
            <v>JJB63538</v>
          </cell>
        </row>
        <row r="1018">
          <cell r="A1018" t="str">
            <v>JLG53346G-14</v>
          </cell>
        </row>
        <row r="1019">
          <cell r="A1019" t="str">
            <v>JDG63878</v>
          </cell>
        </row>
        <row r="1020">
          <cell r="A1020" t="str">
            <v>JGG53670-10</v>
          </cell>
        </row>
        <row r="1021">
          <cell r="A1021" t="str">
            <v>JJG52909-7</v>
          </cell>
        </row>
        <row r="1022">
          <cell r="A1022" t="str">
            <v>JSG62831-3</v>
          </cell>
        </row>
        <row r="1023">
          <cell r="A1023" t="str">
            <v>JXG52855-5</v>
          </cell>
        </row>
        <row r="1024">
          <cell r="A1024" t="str">
            <v>JQG62006-2</v>
          </cell>
        </row>
        <row r="1025">
          <cell r="A1025" t="str">
            <v>JJB63637</v>
          </cell>
        </row>
        <row r="1026">
          <cell r="A1026" t="str">
            <v>JKN63659</v>
          </cell>
        </row>
        <row r="1027">
          <cell r="A1027" t="str">
            <v>JKG43025G-17</v>
          </cell>
        </row>
        <row r="1028">
          <cell r="A1028" t="str">
            <v>JLG63379</v>
          </cell>
        </row>
        <row r="1029">
          <cell r="A1029" t="str">
            <v>JJB63638</v>
          </cell>
        </row>
        <row r="1030">
          <cell r="A1030" t="str">
            <v>JLG63416</v>
          </cell>
        </row>
        <row r="1031">
          <cell r="A1031" t="str">
            <v>JLG63518</v>
          </cell>
        </row>
        <row r="1032">
          <cell r="A1032" t="str">
            <v>JLG63584</v>
          </cell>
        </row>
        <row r="1033">
          <cell r="A1033" t="str">
            <v>JJG61106-2</v>
          </cell>
        </row>
        <row r="1034">
          <cell r="A1034" t="str">
            <v>JJG62022-2</v>
          </cell>
        </row>
        <row r="1035">
          <cell r="A1035" t="str">
            <v>JLG63656</v>
          </cell>
        </row>
        <row r="1036">
          <cell r="A1036" t="str">
            <v>JTG62416-1</v>
          </cell>
        </row>
        <row r="1037">
          <cell r="A1037" t="str">
            <v>JJG63615</v>
          </cell>
        </row>
        <row r="1038">
          <cell r="A1038" t="str">
            <v>JJG63616</v>
          </cell>
        </row>
        <row r="1039">
          <cell r="A1039" t="str">
            <v>JJG63661</v>
          </cell>
        </row>
        <row r="1040">
          <cell r="A1040" t="str">
            <v>JJG63663</v>
          </cell>
        </row>
        <row r="1041">
          <cell r="A1041" t="str">
            <v>JLG63811</v>
          </cell>
        </row>
        <row r="1042">
          <cell r="A1042" t="str">
            <v>JTG63803</v>
          </cell>
        </row>
        <row r="1043">
          <cell r="A1043" t="str">
            <v>JMB63865</v>
          </cell>
        </row>
        <row r="1044">
          <cell r="A1044" t="str">
            <v>JMB65811</v>
          </cell>
        </row>
        <row r="1045">
          <cell r="A1045" t="str">
            <v>JMG63359</v>
          </cell>
        </row>
        <row r="1046">
          <cell r="A1046" t="str">
            <v>JMG63520</v>
          </cell>
        </row>
        <row r="1047">
          <cell r="A1047" t="str">
            <v>JMG63533</v>
          </cell>
        </row>
        <row r="1048">
          <cell r="A1048" t="str">
            <v>JMG63596</v>
          </cell>
        </row>
        <row r="1049">
          <cell r="A1049" t="str">
            <v>JMG63689</v>
          </cell>
        </row>
        <row r="1050">
          <cell r="A1050" t="str">
            <v>JTG53812-3</v>
          </cell>
        </row>
        <row r="1051">
          <cell r="A1051" t="str">
            <v>JMG63854</v>
          </cell>
        </row>
        <row r="1052">
          <cell r="A1052" t="str">
            <v>JMG65003</v>
          </cell>
        </row>
        <row r="1053">
          <cell r="A1053" t="str">
            <v>JMG65006</v>
          </cell>
        </row>
        <row r="1054">
          <cell r="A1054" t="str">
            <v>JMG65802</v>
          </cell>
        </row>
        <row r="1055">
          <cell r="A1055" t="str">
            <v>JKB54558-2</v>
          </cell>
        </row>
        <row r="1056">
          <cell r="A1056" t="str">
            <v>JCG63545</v>
          </cell>
        </row>
        <row r="1057">
          <cell r="A1057" t="str">
            <v>JKG62581-16</v>
          </cell>
        </row>
        <row r="1058">
          <cell r="A1058" t="str">
            <v>JNG63557</v>
          </cell>
        </row>
        <row r="1059">
          <cell r="A1059" t="str">
            <v>JTG63825</v>
          </cell>
        </row>
        <row r="1060">
          <cell r="A1060" t="str">
            <v>JJN53468-6</v>
          </cell>
        </row>
        <row r="1061">
          <cell r="A1061" t="str">
            <v>JKB63414</v>
          </cell>
        </row>
        <row r="1062">
          <cell r="A1062" t="str">
            <v>JKB63566</v>
          </cell>
        </row>
        <row r="1063">
          <cell r="A1063" t="str">
            <v>JXB32564H-13</v>
          </cell>
        </row>
        <row r="1064">
          <cell r="A1064" t="str">
            <v>JJN62538-3</v>
          </cell>
        </row>
        <row r="1065">
          <cell r="A1065" t="str">
            <v>JXG62970-2</v>
          </cell>
        </row>
        <row r="1066">
          <cell r="A1066" t="str">
            <v>JJN62961-3</v>
          </cell>
        </row>
        <row r="1067">
          <cell r="A1067" t="str">
            <v>JKG52689-13</v>
          </cell>
        </row>
        <row r="1068">
          <cell r="A1068" t="str">
            <v>JKG61130-2</v>
          </cell>
        </row>
        <row r="1069">
          <cell r="A1069" t="str">
            <v>JTG62020-7</v>
          </cell>
        </row>
        <row r="1070">
          <cell r="A1070" t="str">
            <v>JKG63890</v>
          </cell>
        </row>
        <row r="1071">
          <cell r="A1071" t="str">
            <v>JTB52058-5</v>
          </cell>
        </row>
        <row r="1072">
          <cell r="A1072" t="str">
            <v>JXG62945-1</v>
          </cell>
        </row>
        <row r="1073">
          <cell r="A1073" t="str">
            <v>JDG63344</v>
          </cell>
        </row>
        <row r="1074">
          <cell r="A1074" t="str">
            <v>JQG62668G-17</v>
          </cell>
        </row>
        <row r="1075">
          <cell r="A1075" t="str">
            <v>JTG63833</v>
          </cell>
        </row>
        <row r="1076">
          <cell r="A1076" t="str">
            <v>JRB63496</v>
          </cell>
        </row>
        <row r="1077">
          <cell r="A1077" t="str">
            <v>JQG52245-13</v>
          </cell>
        </row>
        <row r="1078">
          <cell r="A1078" t="str">
            <v>JRG63497</v>
          </cell>
        </row>
        <row r="1079">
          <cell r="A1079" t="str">
            <v>JHG33052G-8</v>
          </cell>
        </row>
        <row r="1080">
          <cell r="A1080" t="str">
            <v>JJG52216-7</v>
          </cell>
        </row>
        <row r="1081">
          <cell r="A1081" t="str">
            <v>JJN62816-9</v>
          </cell>
        </row>
        <row r="1082">
          <cell r="A1082" t="str">
            <v>JKG35699G-11</v>
          </cell>
        </row>
        <row r="1083">
          <cell r="A1083" t="str">
            <v>JJG63575</v>
          </cell>
        </row>
        <row r="1084">
          <cell r="A1084" t="str">
            <v>JTG52051-10</v>
          </cell>
        </row>
        <row r="1085">
          <cell r="A1085" t="str">
            <v>JQG63406</v>
          </cell>
        </row>
        <row r="1086">
          <cell r="A1086" t="str">
            <v>JTG52051-9</v>
          </cell>
        </row>
        <row r="1087">
          <cell r="A1087" t="str">
            <v>JQG63578</v>
          </cell>
        </row>
        <row r="1088">
          <cell r="A1088" t="str">
            <v>JKG63506</v>
          </cell>
        </row>
        <row r="1089">
          <cell r="A1089" t="str">
            <v>JKG63534</v>
          </cell>
        </row>
        <row r="1090">
          <cell r="A1090" t="str">
            <v>JQG63666</v>
          </cell>
        </row>
        <row r="1091">
          <cell r="A1091" t="str">
            <v>JQG63823</v>
          </cell>
        </row>
        <row r="1092">
          <cell r="A1092" t="str">
            <v>JQG63837</v>
          </cell>
        </row>
        <row r="1093">
          <cell r="A1093" t="str">
            <v>JQG63840</v>
          </cell>
        </row>
        <row r="1094">
          <cell r="A1094" t="str">
            <v>JQG63841</v>
          </cell>
        </row>
        <row r="1095">
          <cell r="A1095" t="str">
            <v>JKG63627</v>
          </cell>
        </row>
        <row r="1096">
          <cell r="A1096" t="str">
            <v>JQG65004</v>
          </cell>
        </row>
        <row r="1097">
          <cell r="A1097" t="str">
            <v>JXB52016-12</v>
          </cell>
        </row>
        <row r="1098">
          <cell r="A1098" t="str">
            <v>JQG65804</v>
          </cell>
        </row>
        <row r="1099">
          <cell r="A1099" t="str">
            <v>JRB13827L-17</v>
          </cell>
        </row>
        <row r="1100">
          <cell r="A1100" t="str">
            <v>JKG63647</v>
          </cell>
        </row>
        <row r="1101">
          <cell r="A1101" t="str">
            <v>JKG65008</v>
          </cell>
        </row>
        <row r="1102">
          <cell r="A1102" t="str">
            <v>JKG55159-5</v>
          </cell>
        </row>
        <row r="1103">
          <cell r="A1103" t="str">
            <v>JRB63031</v>
          </cell>
        </row>
        <row r="1104">
          <cell r="A1104" t="str">
            <v>JRB63391</v>
          </cell>
        </row>
        <row r="1105">
          <cell r="A1105" t="str">
            <v>JKG55652-6</v>
          </cell>
        </row>
        <row r="1106">
          <cell r="A1106" t="str">
            <v>JRG45116-6</v>
          </cell>
        </row>
        <row r="1107">
          <cell r="A1107" t="str">
            <v>JLG63657</v>
          </cell>
        </row>
        <row r="1108">
          <cell r="A1108" t="str">
            <v>JKB63386</v>
          </cell>
        </row>
        <row r="1109">
          <cell r="A1109" t="str">
            <v>JQG52875-9</v>
          </cell>
        </row>
        <row r="1110">
          <cell r="A1110" t="str">
            <v>JKN62354-2</v>
          </cell>
        </row>
        <row r="1111">
          <cell r="A1111" t="str">
            <v>JKN63537</v>
          </cell>
        </row>
        <row r="1112">
          <cell r="A1112" t="str">
            <v>JQG52919G-7</v>
          </cell>
        </row>
        <row r="1113">
          <cell r="A1113" t="str">
            <v>JLG65642</v>
          </cell>
        </row>
        <row r="1114">
          <cell r="A1114" t="str">
            <v>JLB63009</v>
          </cell>
        </row>
        <row r="1115">
          <cell r="A1115" t="str">
            <v>JEG52967-6</v>
          </cell>
        </row>
        <row r="1116">
          <cell r="A1116" t="str">
            <v>JHG62873-1</v>
          </cell>
        </row>
        <row r="1117">
          <cell r="A1117" t="str">
            <v>JXB63410</v>
          </cell>
        </row>
        <row r="1118">
          <cell r="A1118" t="str">
            <v>JLB63645</v>
          </cell>
        </row>
        <row r="1119">
          <cell r="A1119" t="str">
            <v>JQG61007-4</v>
          </cell>
        </row>
        <row r="1120">
          <cell r="A1120" t="str">
            <v>JQG61611-3</v>
          </cell>
        </row>
        <row r="1121">
          <cell r="A1121" t="str">
            <v>JTG62084-4</v>
          </cell>
        </row>
        <row r="1122">
          <cell r="A1122" t="str">
            <v>JQG52942-2</v>
          </cell>
        </row>
        <row r="1123">
          <cell r="A1123" t="str">
            <v>JLG51448G-9</v>
          </cell>
        </row>
        <row r="1124">
          <cell r="A1124" t="str">
            <v>JJN61863-2</v>
          </cell>
        </row>
        <row r="1125">
          <cell r="A1125" t="str">
            <v>JTG62590-3</v>
          </cell>
        </row>
        <row r="1126">
          <cell r="A1126" t="str">
            <v>JTG62536-2</v>
          </cell>
        </row>
        <row r="1127">
          <cell r="A1127" t="str">
            <v>JDG55676-3</v>
          </cell>
        </row>
        <row r="1128">
          <cell r="A1128" t="str">
            <v>JRG63428</v>
          </cell>
        </row>
        <row r="1129">
          <cell r="A1129" t="str">
            <v>JRG63464</v>
          </cell>
        </row>
        <row r="1130">
          <cell r="A1130" t="str">
            <v>JLG63461</v>
          </cell>
        </row>
        <row r="1131">
          <cell r="A1131" t="str">
            <v>JRG63476</v>
          </cell>
        </row>
        <row r="1132">
          <cell r="A1132" t="str">
            <v>JRG63515</v>
          </cell>
        </row>
        <row r="1133">
          <cell r="A1133" t="str">
            <v>JRG63543</v>
          </cell>
        </row>
        <row r="1134">
          <cell r="A1134" t="str">
            <v>JTB63016</v>
          </cell>
        </row>
        <row r="1135">
          <cell r="A1135" t="str">
            <v>JRG63830</v>
          </cell>
        </row>
        <row r="1136">
          <cell r="A1136" t="str">
            <v>JRG63918</v>
          </cell>
        </row>
        <row r="1137">
          <cell r="A1137" t="str">
            <v>JLG63624</v>
          </cell>
        </row>
        <row r="1138">
          <cell r="A1138" t="str">
            <v>JLG42013G-21</v>
          </cell>
        </row>
        <row r="1139">
          <cell r="A1139" t="str">
            <v>JDG63343</v>
          </cell>
        </row>
        <row r="1140">
          <cell r="A1140" t="str">
            <v>JDG63493</v>
          </cell>
        </row>
        <row r="1141">
          <cell r="A1141" t="str">
            <v>JTG63822</v>
          </cell>
        </row>
        <row r="1142">
          <cell r="A1142" t="str">
            <v>JJB63019</v>
          </cell>
        </row>
        <row r="1143">
          <cell r="A1143" t="str">
            <v>JHB62824-1</v>
          </cell>
        </row>
        <row r="1144">
          <cell r="A1144" t="str">
            <v>JJG55601-5</v>
          </cell>
        </row>
        <row r="1145">
          <cell r="A1145" t="str">
            <v>JSB62863-1</v>
          </cell>
        </row>
        <row r="1146">
          <cell r="A1146" t="str">
            <v>JRG61681-2</v>
          </cell>
        </row>
        <row r="1147">
          <cell r="A1147" t="str">
            <v>JJG63362</v>
          </cell>
        </row>
        <row r="1148">
          <cell r="A1148" t="str">
            <v>JJG52216-10</v>
          </cell>
        </row>
        <row r="1149">
          <cell r="A1149" t="str">
            <v>JJG52968-5</v>
          </cell>
        </row>
        <row r="1150">
          <cell r="A1150" t="str">
            <v>JSG62788-1</v>
          </cell>
        </row>
        <row r="1151">
          <cell r="A1151" t="str">
            <v>JJG63450</v>
          </cell>
        </row>
        <row r="1152">
          <cell r="A1152" t="str">
            <v>JJG63451</v>
          </cell>
        </row>
        <row r="1153">
          <cell r="A1153" t="str">
            <v>JSB52904G-7</v>
          </cell>
        </row>
        <row r="1154">
          <cell r="A1154" t="str">
            <v>JSB52904G-8</v>
          </cell>
        </row>
        <row r="1155">
          <cell r="A1155" t="str">
            <v>JSG52949G-11</v>
          </cell>
        </row>
        <row r="1156">
          <cell r="A1156" t="str">
            <v>JSG62920-2</v>
          </cell>
        </row>
        <row r="1157">
          <cell r="A1157" t="str">
            <v>JTG62689-2</v>
          </cell>
        </row>
        <row r="1158">
          <cell r="A1158" t="str">
            <v>JTG62453-6</v>
          </cell>
        </row>
        <row r="1159">
          <cell r="A1159" t="str">
            <v>JJN62538-2</v>
          </cell>
        </row>
        <row r="1160">
          <cell r="A1160" t="str">
            <v>JJN62815-6</v>
          </cell>
        </row>
        <row r="1161">
          <cell r="A1161" t="str">
            <v>JLG63625</v>
          </cell>
        </row>
        <row r="1162">
          <cell r="A1162" t="str">
            <v>JSG62976-2</v>
          </cell>
        </row>
        <row r="1163">
          <cell r="A1163" t="str">
            <v>JJG63801</v>
          </cell>
        </row>
        <row r="1164">
          <cell r="A1164" t="str">
            <v>JSG62993-2</v>
          </cell>
        </row>
        <row r="1165">
          <cell r="A1165" t="str">
            <v>JXG52713-15</v>
          </cell>
        </row>
        <row r="1166">
          <cell r="A1166" t="str">
            <v>JKG62508-7</v>
          </cell>
        </row>
        <row r="1167">
          <cell r="A1167" t="str">
            <v>JHN63057</v>
          </cell>
        </row>
        <row r="1168">
          <cell r="A1168" t="str">
            <v>JTB31901H-7</v>
          </cell>
        </row>
        <row r="1169">
          <cell r="A1169" t="str">
            <v>JKB63651</v>
          </cell>
        </row>
        <row r="1170">
          <cell r="A1170" t="str">
            <v>JTB55581-2</v>
          </cell>
        </row>
        <row r="1171">
          <cell r="A1171" t="str">
            <v>JLG63655</v>
          </cell>
        </row>
        <row r="1172">
          <cell r="A1172" t="str">
            <v>JTB42825G-9</v>
          </cell>
        </row>
        <row r="1173">
          <cell r="A1173" t="str">
            <v>JKG45629G-13</v>
          </cell>
        </row>
        <row r="1174">
          <cell r="A1174" t="str">
            <v>JLG63679</v>
          </cell>
        </row>
        <row r="1175">
          <cell r="A1175" t="str">
            <v>JLG63681</v>
          </cell>
        </row>
        <row r="1176">
          <cell r="A1176" t="str">
            <v>JTG63469</v>
          </cell>
        </row>
        <row r="1177">
          <cell r="A1177" t="str">
            <v>JLG63693</v>
          </cell>
        </row>
        <row r="1178">
          <cell r="A1178" t="str">
            <v>JSG62111-1</v>
          </cell>
        </row>
        <row r="1179">
          <cell r="A1179" t="str">
            <v>JLG63843</v>
          </cell>
        </row>
        <row r="1180">
          <cell r="A1180" t="str">
            <v>JTB63465</v>
          </cell>
        </row>
        <row r="1181">
          <cell r="A1181" t="str">
            <v>JSG62879-1</v>
          </cell>
        </row>
        <row r="1182">
          <cell r="A1182" t="str">
            <v>JTB52091-5</v>
          </cell>
        </row>
        <row r="1183">
          <cell r="A1183" t="str">
            <v>JTB63592</v>
          </cell>
        </row>
        <row r="1184">
          <cell r="A1184" t="str">
            <v>JTB63593</v>
          </cell>
        </row>
        <row r="1185">
          <cell r="A1185" t="str">
            <v>JLG63855</v>
          </cell>
        </row>
        <row r="1186">
          <cell r="A1186" t="str">
            <v>JTB61804-2</v>
          </cell>
        </row>
        <row r="1187">
          <cell r="A1187" t="str">
            <v>JTB63867</v>
          </cell>
        </row>
        <row r="1188">
          <cell r="A1188" t="str">
            <v>JTB63869</v>
          </cell>
        </row>
        <row r="1189">
          <cell r="A1189" t="str">
            <v>JNG63849</v>
          </cell>
        </row>
        <row r="1190">
          <cell r="A1190" t="str">
            <v>JTG62951-1</v>
          </cell>
        </row>
        <row r="1191">
          <cell r="A1191" t="str">
            <v>JKG63049</v>
          </cell>
        </row>
        <row r="1192">
          <cell r="A1192" t="str">
            <v>JTG52056-10</v>
          </cell>
        </row>
        <row r="1193">
          <cell r="A1193" t="str">
            <v>JXG52028-6</v>
          </cell>
        </row>
        <row r="1194">
          <cell r="A1194" t="str">
            <v>JKG63059</v>
          </cell>
        </row>
        <row r="1195">
          <cell r="A1195" t="str">
            <v>JTG52695-2</v>
          </cell>
        </row>
        <row r="1196">
          <cell r="A1196" t="str">
            <v>JTG53103-2</v>
          </cell>
        </row>
        <row r="1197">
          <cell r="A1197" t="str">
            <v>JSN62917-1</v>
          </cell>
        </row>
        <row r="1198">
          <cell r="A1198" t="str">
            <v>JTG53853-7</v>
          </cell>
        </row>
        <row r="1199">
          <cell r="A1199" t="str">
            <v>JTG61662-1</v>
          </cell>
        </row>
        <row r="1200">
          <cell r="A1200" t="str">
            <v>JTG61680-2</v>
          </cell>
        </row>
        <row r="1201">
          <cell r="A1201" t="str">
            <v>JKG63547</v>
          </cell>
        </row>
        <row r="1202">
          <cell r="A1202" t="str">
            <v>JTG61813-2</v>
          </cell>
        </row>
        <row r="1203">
          <cell r="A1203" t="str">
            <v>JTG61854-3</v>
          </cell>
        </row>
        <row r="1204">
          <cell r="A1204" t="str">
            <v>JKG63580</v>
          </cell>
        </row>
        <row r="1205">
          <cell r="A1205" t="str">
            <v>JTG62672-1</v>
          </cell>
        </row>
        <row r="1206">
          <cell r="A1206" t="str">
            <v>JTG620001Y-5</v>
          </cell>
        </row>
        <row r="1207">
          <cell r="A1207" t="str">
            <v>JHG52187-2</v>
          </cell>
        </row>
        <row r="1208">
          <cell r="A1208" t="str">
            <v>JQG62853-2</v>
          </cell>
        </row>
        <row r="1209">
          <cell r="A1209" t="str">
            <v>JJN62816B-1</v>
          </cell>
        </row>
        <row r="1210">
          <cell r="A1210" t="str">
            <v>JXG62573-2</v>
          </cell>
        </row>
        <row r="1211">
          <cell r="A1211" t="str">
            <v>JRB55545-2</v>
          </cell>
        </row>
        <row r="1212">
          <cell r="A1212" t="str">
            <v>JKG63614</v>
          </cell>
        </row>
        <row r="1213">
          <cell r="A1213" t="str">
            <v>JQG62763-1</v>
          </cell>
        </row>
        <row r="1214">
          <cell r="A1214" t="str">
            <v>JRB63636</v>
          </cell>
        </row>
        <row r="1215">
          <cell r="A1215" t="str">
            <v>JTG62901-1</v>
          </cell>
        </row>
        <row r="1216">
          <cell r="A1216" t="str">
            <v>JTG62563-2</v>
          </cell>
        </row>
        <row r="1217">
          <cell r="A1217" t="str">
            <v>JKG62581-17</v>
          </cell>
        </row>
        <row r="1218">
          <cell r="A1218" t="str">
            <v>JKG63848</v>
          </cell>
        </row>
        <row r="1219">
          <cell r="A1219" t="str">
            <v>JKG65002</v>
          </cell>
        </row>
        <row r="1220">
          <cell r="A1220" t="str">
            <v>JKG63065</v>
          </cell>
        </row>
        <row r="1221">
          <cell r="A1221" t="str">
            <v>JXG62602-2</v>
          </cell>
        </row>
        <row r="1222">
          <cell r="A1222" t="str">
            <v>JTG61552-2</v>
          </cell>
        </row>
        <row r="1223">
          <cell r="A1223" t="str">
            <v>JTG61730-4</v>
          </cell>
        </row>
        <row r="1224">
          <cell r="A1224" t="str">
            <v>JKG65505</v>
          </cell>
        </row>
        <row r="1225">
          <cell r="A1225" t="str">
            <v>JKN63397</v>
          </cell>
        </row>
        <row r="1226">
          <cell r="A1226" t="str">
            <v>JKN63479</v>
          </cell>
        </row>
        <row r="1227">
          <cell r="A1227" t="str">
            <v>JKN63484</v>
          </cell>
        </row>
        <row r="1228">
          <cell r="A1228" t="str">
            <v>JXG51038G-5</v>
          </cell>
        </row>
        <row r="1229">
          <cell r="A1229" t="str">
            <v>JJN62815-5</v>
          </cell>
        </row>
        <row r="1230">
          <cell r="A1230" t="str">
            <v>JXG52426-4</v>
          </cell>
        </row>
        <row r="1231">
          <cell r="A1231" t="str">
            <v>JXG61540-3</v>
          </cell>
        </row>
        <row r="1232">
          <cell r="A1232" t="str">
            <v>JKG62580-3</v>
          </cell>
        </row>
        <row r="1233">
          <cell r="A1233" t="str">
            <v>JRG63078</v>
          </cell>
        </row>
        <row r="1234">
          <cell r="A1234" t="str">
            <v>JTG63061</v>
          </cell>
        </row>
        <row r="1235">
          <cell r="A1235" t="str">
            <v>JTG63104</v>
          </cell>
        </row>
        <row r="1236">
          <cell r="A1236" t="str">
            <v>JTG63368</v>
          </cell>
        </row>
        <row r="1237">
          <cell r="A1237" t="str">
            <v>JRG63355</v>
          </cell>
        </row>
        <row r="1238">
          <cell r="A1238" t="str">
            <v>JLG42013G-26</v>
          </cell>
        </row>
        <row r="1239">
          <cell r="A1239" t="str">
            <v>JTG63403</v>
          </cell>
        </row>
        <row r="1240">
          <cell r="A1240" t="str">
            <v>JRG63387</v>
          </cell>
        </row>
        <row r="1241">
          <cell r="A1241" t="str">
            <v>JQG62798-1</v>
          </cell>
        </row>
        <row r="1242">
          <cell r="A1242" t="str">
            <v>JRG63475</v>
          </cell>
        </row>
        <row r="1243">
          <cell r="A1243" t="str">
            <v>JTG63460</v>
          </cell>
        </row>
        <row r="1244">
          <cell r="A1244" t="str">
            <v>JTG63463</v>
          </cell>
        </row>
        <row r="1245">
          <cell r="A1245" t="str">
            <v>JRG63544</v>
          </cell>
        </row>
        <row r="1246">
          <cell r="A1246" t="str">
            <v>JTG63574</v>
          </cell>
        </row>
        <row r="1247">
          <cell r="A1247" t="str">
            <v>JXG62060-9</v>
          </cell>
        </row>
        <row r="1248">
          <cell r="A1248" t="str">
            <v>JXG43520G-7</v>
          </cell>
        </row>
        <row r="1249">
          <cell r="A1249" t="str">
            <v>JTG63629</v>
          </cell>
        </row>
        <row r="1250">
          <cell r="A1250" t="str">
            <v>JDG62164-2</v>
          </cell>
        </row>
        <row r="1251">
          <cell r="A1251" t="str">
            <v>JTG63667</v>
          </cell>
        </row>
        <row r="1252">
          <cell r="A1252" t="str">
            <v>JTG63668</v>
          </cell>
        </row>
        <row r="1253">
          <cell r="A1253" t="str">
            <v>JTG63669</v>
          </cell>
        </row>
        <row r="1254">
          <cell r="A1254" t="str">
            <v>JXG53019-7</v>
          </cell>
        </row>
        <row r="1255">
          <cell r="A1255" t="str">
            <v>JT02863K-24</v>
          </cell>
        </row>
        <row r="1256">
          <cell r="A1256" t="str">
            <v>JTB63356</v>
          </cell>
        </row>
        <row r="1257">
          <cell r="A1257" t="str">
            <v>JXG63526</v>
          </cell>
        </row>
        <row r="1258">
          <cell r="A1258" t="str">
            <v>JLG63043</v>
          </cell>
        </row>
        <row r="1259">
          <cell r="A1259" t="str">
            <v>JTG63826</v>
          </cell>
        </row>
        <row r="1260">
          <cell r="A1260" t="str">
            <v>JTG63831</v>
          </cell>
        </row>
        <row r="1261">
          <cell r="A1261" t="str">
            <v>JTB62399-1</v>
          </cell>
        </row>
        <row r="1262">
          <cell r="A1262" t="str">
            <v>JTB63357</v>
          </cell>
        </row>
        <row r="1263">
          <cell r="A1263" t="str">
            <v>JTG63839</v>
          </cell>
        </row>
        <row r="1264">
          <cell r="A1264" t="str">
            <v>JTG63870</v>
          </cell>
        </row>
        <row r="1265">
          <cell r="A1265" t="str">
            <v>JTG63911</v>
          </cell>
        </row>
        <row r="1266">
          <cell r="A1266" t="str">
            <v>JLG63088</v>
          </cell>
        </row>
        <row r="1267">
          <cell r="A1267" t="str">
            <v>JLG63680</v>
          </cell>
        </row>
        <row r="1268">
          <cell r="A1268" t="str">
            <v>JLG62057-1</v>
          </cell>
        </row>
        <row r="1269">
          <cell r="A1269" t="str">
            <v>JLB42653G-12</v>
          </cell>
        </row>
        <row r="1270">
          <cell r="A1270" t="str">
            <v>JTG53911-12</v>
          </cell>
        </row>
        <row r="1271">
          <cell r="A1271" t="str">
            <v>JCG53827-10</v>
          </cell>
        </row>
        <row r="1272">
          <cell r="A1272" t="str">
            <v>JTN63419</v>
          </cell>
        </row>
        <row r="1273">
          <cell r="A1273" t="str">
            <v>JEG53915-1</v>
          </cell>
        </row>
        <row r="1274">
          <cell r="A1274" t="str">
            <v>JJG63054</v>
          </cell>
        </row>
        <row r="1275">
          <cell r="A1275" t="str">
            <v>JNG63556</v>
          </cell>
        </row>
        <row r="1276">
          <cell r="A1276" t="str">
            <v>JJN62910-2</v>
          </cell>
        </row>
        <row r="1277">
          <cell r="A1277" t="str">
            <v>JXB63030</v>
          </cell>
        </row>
        <row r="1278">
          <cell r="A1278" t="str">
            <v>JXB63072</v>
          </cell>
        </row>
        <row r="1279">
          <cell r="A1279" t="str">
            <v>JRG53756-3</v>
          </cell>
        </row>
        <row r="1280">
          <cell r="A1280" t="str">
            <v>JQG55921-2</v>
          </cell>
        </row>
        <row r="1281">
          <cell r="A1281" t="str">
            <v>JTB42825G-8</v>
          </cell>
        </row>
        <row r="1282">
          <cell r="A1282" t="str">
            <v>JTG63404</v>
          </cell>
        </row>
        <row r="1283">
          <cell r="A1283" t="str">
            <v>JTG61748-2</v>
          </cell>
        </row>
        <row r="1284">
          <cell r="A1284" t="str">
            <v>JXB63562</v>
          </cell>
        </row>
        <row r="1285">
          <cell r="A1285" t="str">
            <v>JTG63459</v>
          </cell>
        </row>
        <row r="1286">
          <cell r="A1286" t="str">
            <v>JSB62864-3</v>
          </cell>
        </row>
        <row r="1287">
          <cell r="A1287" t="str">
            <v>JXB63587</v>
          </cell>
        </row>
        <row r="1288">
          <cell r="A1288" t="str">
            <v>JTG63513</v>
          </cell>
        </row>
        <row r="1289">
          <cell r="A1289" t="str">
            <v>JXB63864</v>
          </cell>
        </row>
        <row r="1290">
          <cell r="A1290" t="str">
            <v>JTG63628</v>
          </cell>
        </row>
        <row r="1291">
          <cell r="A1291" t="str">
            <v>JTG53889H-10</v>
          </cell>
        </row>
        <row r="1292">
          <cell r="A1292" t="str">
            <v>JQG63530</v>
          </cell>
        </row>
        <row r="1293">
          <cell r="A1293" t="str">
            <v>JTG63810</v>
          </cell>
        </row>
        <row r="1294">
          <cell r="A1294" t="str">
            <v>JSB42907G-7</v>
          </cell>
        </row>
        <row r="1295">
          <cell r="A1295" t="str">
            <v>JTN61666-2</v>
          </cell>
        </row>
        <row r="1296">
          <cell r="A1296" t="str">
            <v>JTG51507G-14</v>
          </cell>
        </row>
        <row r="1297">
          <cell r="A1297" t="str">
            <v>JTG63853</v>
          </cell>
        </row>
        <row r="1298">
          <cell r="A1298" t="str">
            <v>JQG52112-6</v>
          </cell>
        </row>
        <row r="1299">
          <cell r="A1299" t="str">
            <v>JTG62416-2</v>
          </cell>
        </row>
        <row r="1300">
          <cell r="A1300" t="str">
            <v>JTG62708-6</v>
          </cell>
        </row>
        <row r="1301">
          <cell r="A1301" t="str">
            <v>JXG62347-6</v>
          </cell>
        </row>
        <row r="1302">
          <cell r="A1302" t="str">
            <v>JDG62969-2</v>
          </cell>
        </row>
        <row r="1303">
          <cell r="A1303" t="str">
            <v>JHG63529</v>
          </cell>
        </row>
        <row r="1304">
          <cell r="A1304" t="str">
            <v>JQG52390-6</v>
          </cell>
        </row>
        <row r="1305">
          <cell r="A1305" t="str">
            <v>JTG62568-3</v>
          </cell>
        </row>
        <row r="1306">
          <cell r="A1306" t="str">
            <v>JTG63814</v>
          </cell>
        </row>
        <row r="1307">
          <cell r="A1307" t="str">
            <v>JJG61855-2</v>
          </cell>
        </row>
        <row r="1308">
          <cell r="A1308" t="str">
            <v>JQG52762-7</v>
          </cell>
        </row>
        <row r="1309">
          <cell r="A1309" t="str">
            <v>JQG63623</v>
          </cell>
        </row>
        <row r="1310">
          <cell r="A1310" t="str">
            <v>JRB63032</v>
          </cell>
        </row>
        <row r="1311">
          <cell r="A1311" t="str">
            <v>JRB63554</v>
          </cell>
        </row>
        <row r="1312">
          <cell r="A1312" t="str">
            <v>JTG62166-1</v>
          </cell>
        </row>
        <row r="1313">
          <cell r="A1313" t="str">
            <v>JXG62060-6</v>
          </cell>
        </row>
        <row r="1314">
          <cell r="A1314" t="str">
            <v>JXG62327</v>
          </cell>
        </row>
        <row r="1315">
          <cell r="A1315" t="str">
            <v>JXB63691</v>
          </cell>
        </row>
        <row r="1316">
          <cell r="A1316" t="str">
            <v>JXN61600-2</v>
          </cell>
        </row>
        <row r="1317">
          <cell r="A1317" t="str">
            <v>JJG61765-3</v>
          </cell>
        </row>
        <row r="1318">
          <cell r="A1318" t="str">
            <v>JKG62683-2</v>
          </cell>
        </row>
        <row r="1319">
          <cell r="A1319" t="str">
            <v>JTG62590-4</v>
          </cell>
        </row>
        <row r="1320">
          <cell r="A1320" t="str">
            <v>JTG63576</v>
          </cell>
        </row>
        <row r="1321">
          <cell r="A1321" t="str">
            <v>JTG63692</v>
          </cell>
        </row>
        <row r="1322">
          <cell r="A1322" t="str">
            <v>JLG62346-4</v>
          </cell>
        </row>
        <row r="1323">
          <cell r="A1323" t="str">
            <v>JXG63020</v>
          </cell>
        </row>
        <row r="1324">
          <cell r="A1324" t="str">
            <v>JRB63573</v>
          </cell>
        </row>
        <row r="1325">
          <cell r="A1325" t="str">
            <v>JXG63052</v>
          </cell>
        </row>
        <row r="1326">
          <cell r="A1326" t="str">
            <v>JLG63612</v>
          </cell>
        </row>
        <row r="1327">
          <cell r="A1327" t="str">
            <v>JXG63077</v>
          </cell>
        </row>
        <row r="1328">
          <cell r="A1328" t="str">
            <v>JRB63588</v>
          </cell>
        </row>
        <row r="1329">
          <cell r="A1329" t="str">
            <v>JXG53497-9</v>
          </cell>
        </row>
        <row r="1330">
          <cell r="A1330" t="str">
            <v>JTB63560</v>
          </cell>
        </row>
        <row r="1331">
          <cell r="A1331" t="str">
            <v>JXG63361</v>
          </cell>
        </row>
        <row r="1332">
          <cell r="A1332" t="str">
            <v>JXG63429</v>
          </cell>
        </row>
        <row r="1333">
          <cell r="A1333" t="str">
            <v>JRG25585H-22</v>
          </cell>
        </row>
        <row r="1334">
          <cell r="A1334" t="str">
            <v>JXG63470</v>
          </cell>
        </row>
        <row r="1335">
          <cell r="A1335" t="str">
            <v>JXG63473</v>
          </cell>
        </row>
        <row r="1336">
          <cell r="A1336" t="str">
            <v>JXG63474</v>
          </cell>
        </row>
        <row r="1337">
          <cell r="A1337" t="str">
            <v>JXG63499</v>
          </cell>
        </row>
        <row r="1338">
          <cell r="A1338" t="str">
            <v>JXG63517</v>
          </cell>
        </row>
        <row r="1339">
          <cell r="A1339" t="str">
            <v>JXB53635-6</v>
          </cell>
        </row>
        <row r="1340">
          <cell r="A1340" t="str">
            <v>JHG63542</v>
          </cell>
        </row>
        <row r="1341">
          <cell r="A1341" t="str">
            <v>JXB53612-5</v>
          </cell>
        </row>
        <row r="1342">
          <cell r="A1342" t="str">
            <v>JXG63582</v>
          </cell>
        </row>
        <row r="1343">
          <cell r="A1343" t="str">
            <v>JXG63586</v>
          </cell>
        </row>
        <row r="1344">
          <cell r="A1344" t="str">
            <v>JXG63013</v>
          </cell>
        </row>
        <row r="1345">
          <cell r="A1345" t="str">
            <v>JXN52017-8</v>
          </cell>
        </row>
        <row r="1346">
          <cell r="A1346" t="str">
            <v>JXG63634</v>
          </cell>
        </row>
        <row r="1347">
          <cell r="A1347" t="str">
            <v>JXG63040</v>
          </cell>
        </row>
        <row r="1348">
          <cell r="A1348" t="str">
            <v>JXG63683</v>
          </cell>
        </row>
        <row r="1349">
          <cell r="A1349" t="str">
            <v>JXG63684</v>
          </cell>
        </row>
        <row r="1350">
          <cell r="A1350" t="str">
            <v>JXG63685</v>
          </cell>
        </row>
        <row r="1351">
          <cell r="A1351" t="str">
            <v>JKG61065-4</v>
          </cell>
        </row>
        <row r="1352">
          <cell r="A1352" t="str">
            <v>JXG52028-9</v>
          </cell>
        </row>
        <row r="1353">
          <cell r="A1353" t="str">
            <v>JXG63824</v>
          </cell>
        </row>
        <row r="1354">
          <cell r="A1354" t="str">
            <v>JXG63828</v>
          </cell>
        </row>
        <row r="1355">
          <cell r="A1355" t="str">
            <v>JXG63842</v>
          </cell>
        </row>
        <row r="1356">
          <cell r="A1356" t="str">
            <v>JXG63066</v>
          </cell>
        </row>
        <row r="1357">
          <cell r="A1357" t="str">
            <v>JXG63859</v>
          </cell>
        </row>
        <row r="1358">
          <cell r="A1358" t="str">
            <v>JXG63875</v>
          </cell>
        </row>
        <row r="1359">
          <cell r="A1359" t="str">
            <v>JXG63909</v>
          </cell>
        </row>
        <row r="1360">
          <cell r="A1360" t="str">
            <v>JXG63912</v>
          </cell>
        </row>
        <row r="1361">
          <cell r="A1361" t="str">
            <v>JXG63079</v>
          </cell>
        </row>
        <row r="1362">
          <cell r="A1362" t="str">
            <v>JKG62581-5</v>
          </cell>
        </row>
        <row r="1363">
          <cell r="A1363" t="str">
            <v>JRN63426</v>
          </cell>
        </row>
        <row r="1364">
          <cell r="A1364" t="str">
            <v>JXG63549</v>
          </cell>
        </row>
        <row r="1365">
          <cell r="A1365" t="str">
            <v>JQG62100-3</v>
          </cell>
        </row>
        <row r="1366">
          <cell r="A1366" t="str">
            <v>JXG63577</v>
          </cell>
        </row>
        <row r="1367">
          <cell r="A1367" t="str">
            <v>JXG63595</v>
          </cell>
        </row>
        <row r="1368">
          <cell r="A1368" t="str">
            <v>JXG63677</v>
          </cell>
        </row>
        <row r="1369">
          <cell r="A1369" t="str">
            <v>JXG63548</v>
          </cell>
        </row>
        <row r="1370">
          <cell r="A1370" t="str">
            <v>JZG63850</v>
          </cell>
        </row>
        <row r="1371">
          <cell r="A1371" t="str">
            <v>JTB63021</v>
          </cell>
        </row>
        <row r="1372">
          <cell r="A1372" t="str">
            <v>JZG63471</v>
          </cell>
        </row>
        <row r="1373">
          <cell r="A1373" t="str">
            <v>JKN63398</v>
          </cell>
        </row>
        <row r="1374">
          <cell r="A1374" t="str">
            <v>JKN65679</v>
          </cell>
        </row>
        <row r="1375">
          <cell r="A1375" t="str">
            <v>JTG65011</v>
          </cell>
        </row>
        <row r="1376">
          <cell r="A1376" t="str">
            <v>JTG65078</v>
          </cell>
        </row>
        <row r="1377">
          <cell r="A1377" t="str">
            <v>JKG64892</v>
          </cell>
        </row>
        <row r="1378">
          <cell r="A1378" t="str">
            <v>JNN65872</v>
          </cell>
        </row>
        <row r="1379">
          <cell r="A1379" t="str">
            <v>JTG65819</v>
          </cell>
        </row>
        <row r="1380">
          <cell r="A1380" t="str">
            <v>JTG65863</v>
          </cell>
        </row>
        <row r="1381">
          <cell r="A1381" t="str">
            <v>JTG65875</v>
          </cell>
        </row>
        <row r="1382">
          <cell r="A1382" t="str">
            <v>JTG65876</v>
          </cell>
        </row>
        <row r="1383">
          <cell r="A1383" t="str">
            <v>JQG65877</v>
          </cell>
        </row>
        <row r="1384">
          <cell r="A1384" t="str">
            <v>JQG65878</v>
          </cell>
        </row>
        <row r="1385">
          <cell r="A1385" t="str">
            <v>JJG65879</v>
          </cell>
        </row>
        <row r="1386">
          <cell r="A1386" t="str">
            <v>JJG65880</v>
          </cell>
        </row>
        <row r="1387">
          <cell r="A1387" t="str">
            <v>JRG65882</v>
          </cell>
        </row>
        <row r="1388">
          <cell r="A1388" t="str">
            <v>JXB65056</v>
          </cell>
        </row>
        <row r="1389">
          <cell r="A1389" t="str">
            <v>JJN65884</v>
          </cell>
        </row>
        <row r="1390">
          <cell r="A1390" t="str">
            <v>JGG64868</v>
          </cell>
        </row>
        <row r="1391">
          <cell r="A1391" t="str">
            <v>JJG64886</v>
          </cell>
        </row>
        <row r="1392">
          <cell r="A1392" t="str">
            <v>JJG64887</v>
          </cell>
        </row>
        <row r="1393">
          <cell r="A1393" t="str">
            <v>JKG64881</v>
          </cell>
        </row>
        <row r="1394">
          <cell r="A1394" t="str">
            <v>JJG64882</v>
          </cell>
        </row>
        <row r="1395">
          <cell r="A1395" t="str">
            <v>JYG64835</v>
          </cell>
        </row>
        <row r="1396">
          <cell r="A1396" t="str">
            <v>JHN64884</v>
          </cell>
        </row>
        <row r="1397">
          <cell r="A1397" t="str">
            <v>JRG65664</v>
          </cell>
        </row>
        <row r="1398">
          <cell r="A1398" t="str">
            <v>JXG52760-13</v>
          </cell>
        </row>
        <row r="1399">
          <cell r="A1399" t="str">
            <v>JXG52760-14</v>
          </cell>
        </row>
        <row r="1400">
          <cell r="A1400" t="str">
            <v>JYG64851</v>
          </cell>
        </row>
        <row r="1401">
          <cell r="A1401" t="str">
            <v>JJG65668</v>
          </cell>
        </row>
        <row r="1402">
          <cell r="A1402" t="str">
            <v>JYN64837</v>
          </cell>
        </row>
        <row r="1403">
          <cell r="A1403" t="str">
            <v>JTB63480</v>
          </cell>
        </row>
        <row r="1404">
          <cell r="A1404" t="str">
            <v>JJG64517</v>
          </cell>
        </row>
        <row r="1405">
          <cell r="A1405" t="str">
            <v>JXN65672</v>
          </cell>
        </row>
        <row r="1406">
          <cell r="A1406" t="str">
            <v>JJG65572</v>
          </cell>
        </row>
        <row r="1407">
          <cell r="A1407" t="str">
            <v>JHG65674</v>
          </cell>
        </row>
        <row r="1408">
          <cell r="A1408" t="str">
            <v>JTB65509</v>
          </cell>
        </row>
        <row r="1409">
          <cell r="A1409" t="str">
            <v>JKG65676</v>
          </cell>
        </row>
        <row r="1410">
          <cell r="A1410" t="str">
            <v>JLB65677</v>
          </cell>
        </row>
        <row r="1411">
          <cell r="A1411" t="str">
            <v>JKB65678</v>
          </cell>
        </row>
        <row r="1412">
          <cell r="A1412" t="str">
            <v>JVG64874</v>
          </cell>
        </row>
        <row r="1413">
          <cell r="A1413" t="str">
            <v>JKG65573</v>
          </cell>
        </row>
        <row r="1414">
          <cell r="A1414" t="str">
            <v>JQG62101-1</v>
          </cell>
        </row>
        <row r="1415">
          <cell r="A1415" t="str">
            <v>JHN64621</v>
          </cell>
        </row>
        <row r="1416">
          <cell r="A1416" t="str">
            <v>JHN65552</v>
          </cell>
        </row>
        <row r="1417">
          <cell r="A1417" t="str">
            <v>JJB65841</v>
          </cell>
        </row>
        <row r="1418">
          <cell r="A1418" t="str">
            <v>JMN65579</v>
          </cell>
        </row>
        <row r="1419">
          <cell r="A1419" t="str">
            <v>JMG65557</v>
          </cell>
        </row>
        <row r="1420">
          <cell r="A1420" t="str">
            <v>JSB52080G-6</v>
          </cell>
        </row>
        <row r="1421">
          <cell r="A1421" t="str">
            <v>JMN63401</v>
          </cell>
        </row>
        <row r="1422">
          <cell r="A1422" t="str">
            <v>JTG65624</v>
          </cell>
        </row>
        <row r="1423">
          <cell r="A1423" t="str">
            <v>JAG64507</v>
          </cell>
        </row>
        <row r="1424">
          <cell r="A1424" t="str">
            <v>JAG64602</v>
          </cell>
        </row>
        <row r="1425">
          <cell r="A1425" t="str">
            <v>JGN65451</v>
          </cell>
        </row>
        <row r="1426">
          <cell r="A1426" t="str">
            <v>JGN65452</v>
          </cell>
        </row>
        <row r="1427">
          <cell r="A1427" t="str">
            <v>JTG62839-7</v>
          </cell>
        </row>
        <row r="1428">
          <cell r="A1428" t="str">
            <v>JQG65454</v>
          </cell>
        </row>
        <row r="1429">
          <cell r="A1429" t="str">
            <v>JQG65455</v>
          </cell>
        </row>
        <row r="1430">
          <cell r="A1430" t="str">
            <v>JXN65456</v>
          </cell>
        </row>
        <row r="1431">
          <cell r="A1431" t="str">
            <v>JRG65457</v>
          </cell>
        </row>
        <row r="1432">
          <cell r="A1432" t="str">
            <v>JAG64869</v>
          </cell>
        </row>
        <row r="1433">
          <cell r="A1433" t="str">
            <v>JGG65074</v>
          </cell>
        </row>
        <row r="1434">
          <cell r="A1434" t="str">
            <v>JTG64525</v>
          </cell>
        </row>
        <row r="1435">
          <cell r="A1435" t="str">
            <v>JZG64524</v>
          </cell>
        </row>
        <row r="1436">
          <cell r="A1436" t="str">
            <v>JKG65460</v>
          </cell>
        </row>
        <row r="1437">
          <cell r="A1437" t="str">
            <v>JLG65461</v>
          </cell>
        </row>
        <row r="1438">
          <cell r="A1438" t="str">
            <v>JGG65853</v>
          </cell>
        </row>
        <row r="1439">
          <cell r="A1439" t="str">
            <v>JGN65630</v>
          </cell>
        </row>
        <row r="1440">
          <cell r="A1440" t="str">
            <v>JTG65092</v>
          </cell>
        </row>
        <row r="1441">
          <cell r="A1441" t="str">
            <v>JXG65093</v>
          </cell>
        </row>
        <row r="1442">
          <cell r="A1442" t="str">
            <v>JTG62702-3</v>
          </cell>
        </row>
        <row r="1443">
          <cell r="A1443" t="str">
            <v>JKG65095</v>
          </cell>
        </row>
        <row r="1444">
          <cell r="A1444" t="str">
            <v>JJG64519</v>
          </cell>
        </row>
        <row r="1445">
          <cell r="A1445" t="str">
            <v>JJG64871</v>
          </cell>
        </row>
        <row r="1446">
          <cell r="A1446" t="str">
            <v>JJG64873</v>
          </cell>
        </row>
        <row r="1447">
          <cell r="A1447" t="str">
            <v>JLG65099</v>
          </cell>
        </row>
        <row r="1448">
          <cell r="A1448" t="str">
            <v>JKG65100</v>
          </cell>
        </row>
        <row r="1449">
          <cell r="A1449" t="str">
            <v>JZN65101</v>
          </cell>
        </row>
        <row r="1450">
          <cell r="A1450" t="str">
            <v>JHG65102</v>
          </cell>
        </row>
        <row r="1451">
          <cell r="A1451" t="str">
            <v>JHG64031</v>
          </cell>
        </row>
        <row r="1452">
          <cell r="A1452" t="str">
            <v>JHG64028</v>
          </cell>
        </row>
        <row r="1453">
          <cell r="A1453" t="str">
            <v>JLG65105</v>
          </cell>
        </row>
        <row r="1454">
          <cell r="A1454" t="str">
            <v>JHG64033</v>
          </cell>
        </row>
        <row r="1455">
          <cell r="A1455" t="str">
            <v>JJG65869</v>
          </cell>
        </row>
        <row r="1456">
          <cell r="A1456" t="str">
            <v>JJB64025</v>
          </cell>
        </row>
        <row r="1457">
          <cell r="A1457" t="str">
            <v>JKN64026</v>
          </cell>
        </row>
        <row r="1458">
          <cell r="A1458" t="str">
            <v>JTG63468</v>
          </cell>
        </row>
        <row r="1459">
          <cell r="A1459" t="str">
            <v>JMG65025</v>
          </cell>
        </row>
        <row r="1460">
          <cell r="A1460" t="str">
            <v>JMG65012</v>
          </cell>
        </row>
        <row r="1461">
          <cell r="A1461" t="str">
            <v>JTG65033</v>
          </cell>
        </row>
        <row r="1462">
          <cell r="A1462" t="str">
            <v>JJN65844</v>
          </cell>
        </row>
        <row r="1463">
          <cell r="A1463" t="str">
            <v>JTG65029</v>
          </cell>
        </row>
        <row r="1464">
          <cell r="A1464" t="str">
            <v>JJG65470</v>
          </cell>
        </row>
        <row r="1465">
          <cell r="A1465" t="str">
            <v>JRG65682</v>
          </cell>
        </row>
        <row r="1466">
          <cell r="A1466" t="str">
            <v>JDG65683</v>
          </cell>
        </row>
        <row r="1467">
          <cell r="A1467" t="str">
            <v>JKN65684</v>
          </cell>
        </row>
        <row r="1468">
          <cell r="A1468" t="str">
            <v>JKN65685</v>
          </cell>
        </row>
        <row r="1469">
          <cell r="A1469" t="str">
            <v>JKN65686</v>
          </cell>
        </row>
        <row r="1470">
          <cell r="A1470" t="str">
            <v>JKG65691</v>
          </cell>
        </row>
        <row r="1471">
          <cell r="A1471" t="str">
            <v>JKN64624</v>
          </cell>
        </row>
        <row r="1472">
          <cell r="A1472" t="str">
            <v>JKN65687</v>
          </cell>
        </row>
        <row r="1473">
          <cell r="A1473" t="str">
            <v>JKG64626</v>
          </cell>
        </row>
        <row r="1474">
          <cell r="A1474" t="str">
            <v>JHG64627</v>
          </cell>
        </row>
        <row r="1475">
          <cell r="A1475" t="str">
            <v>JDG64029</v>
          </cell>
        </row>
        <row r="1476">
          <cell r="A1476" t="str">
            <v>JKG64030</v>
          </cell>
        </row>
        <row r="1477">
          <cell r="A1477" t="str">
            <v>JXG65109</v>
          </cell>
        </row>
        <row r="1478">
          <cell r="A1478" t="str">
            <v>JKG64875</v>
          </cell>
        </row>
        <row r="1479">
          <cell r="A1479" t="str">
            <v>JDG65112</v>
          </cell>
        </row>
        <row r="1480">
          <cell r="A1480" t="str">
            <v>JTG63601</v>
          </cell>
        </row>
        <row r="1481">
          <cell r="A1481" t="str">
            <v>JKG65072</v>
          </cell>
        </row>
        <row r="1482">
          <cell r="A1482" t="str">
            <v>JMB65052</v>
          </cell>
        </row>
        <row r="1483">
          <cell r="A1483" t="str">
            <v>JMG65058</v>
          </cell>
        </row>
        <row r="1484">
          <cell r="A1484" t="str">
            <v>JNN65885</v>
          </cell>
        </row>
        <row r="1485">
          <cell r="A1485" t="str">
            <v>JRN65887</v>
          </cell>
        </row>
        <row r="1486">
          <cell r="A1486" t="str">
            <v>JLG65075</v>
          </cell>
        </row>
        <row r="1487">
          <cell r="A1487" t="str">
            <v>JXN65889</v>
          </cell>
        </row>
        <row r="1488">
          <cell r="A1488" t="str">
            <v>JRB65890</v>
          </cell>
        </row>
        <row r="1489">
          <cell r="A1489" t="str">
            <v>JHG64888</v>
          </cell>
        </row>
        <row r="1490">
          <cell r="A1490" t="str">
            <v>JJN64889</v>
          </cell>
        </row>
        <row r="1491">
          <cell r="A1491" t="str">
            <v>JXG53027-9</v>
          </cell>
        </row>
        <row r="1492">
          <cell r="A1492" t="str">
            <v>JRG65856</v>
          </cell>
        </row>
        <row r="1493">
          <cell r="A1493" t="str">
            <v>JYG64828</v>
          </cell>
        </row>
        <row r="1494">
          <cell r="A1494" t="str">
            <v>JYG64846</v>
          </cell>
        </row>
        <row r="1495">
          <cell r="A1495" t="str">
            <v>JYN64605</v>
          </cell>
        </row>
        <row r="1496">
          <cell r="A1496" t="str">
            <v>JXG64528</v>
          </cell>
        </row>
        <row r="1497">
          <cell r="A1497" t="str">
            <v>JZN64515</v>
          </cell>
        </row>
        <row r="1498">
          <cell r="A1498" t="str">
            <v>JZN64529</v>
          </cell>
        </row>
        <row r="1499">
          <cell r="A1499" t="str">
            <v>JKG65478</v>
          </cell>
        </row>
        <row r="1500">
          <cell r="A1500" t="str">
            <v>JKB64526</v>
          </cell>
        </row>
        <row r="1501">
          <cell r="A1501" t="str">
            <v>JKB65473</v>
          </cell>
        </row>
        <row r="1502">
          <cell r="A1502" t="str">
            <v>JKB65472</v>
          </cell>
        </row>
        <row r="1503">
          <cell r="A1503" t="str">
            <v>JEB63424</v>
          </cell>
        </row>
        <row r="1504">
          <cell r="A1504" t="str">
            <v>JKN65480A</v>
          </cell>
        </row>
        <row r="1505">
          <cell r="A1505" t="str">
            <v>JKN65480B</v>
          </cell>
        </row>
        <row r="1506">
          <cell r="A1506" t="str">
            <v>JJN64611</v>
          </cell>
        </row>
        <row r="1507">
          <cell r="A1507" t="str">
            <v>JHG65595</v>
          </cell>
        </row>
        <row r="1508">
          <cell r="A1508" t="str">
            <v>JJN65822-1</v>
          </cell>
        </row>
        <row r="1509">
          <cell r="A1509" t="str">
            <v>JJN65815-1</v>
          </cell>
        </row>
        <row r="1510">
          <cell r="A1510" t="str">
            <v>JJN63845-1</v>
          </cell>
        </row>
        <row r="1511">
          <cell r="A1511" t="str">
            <v>JYG64843</v>
          </cell>
        </row>
        <row r="1512">
          <cell r="A1512" t="str">
            <v>JXG51755G-13 </v>
          </cell>
        </row>
        <row r="1513">
          <cell r="A1513" t="str">
            <v>JTG65806</v>
          </cell>
        </row>
        <row r="1514">
          <cell r="A1514" t="str">
            <v>JTG620001Y-7</v>
          </cell>
        </row>
        <row r="1515">
          <cell r="A1515" t="str">
            <v>JTG65807</v>
          </cell>
        </row>
        <row r="1516">
          <cell r="A1516" t="str">
            <v>JYN64853</v>
          </cell>
        </row>
        <row r="1517">
          <cell r="A1517" t="str">
            <v>JKN64892</v>
          </cell>
        </row>
        <row r="1518">
          <cell r="A1518" t="str">
            <v>JYN64263</v>
          </cell>
        </row>
        <row r="1519">
          <cell r="A1519" t="str">
            <v>JKG63813</v>
          </cell>
        </row>
        <row r="1520">
          <cell r="A1520" t="str">
            <v>JTG620001Y-8</v>
          </cell>
        </row>
        <row r="1521">
          <cell r="A1521" t="str">
            <v>JQG51806G-4</v>
          </cell>
        </row>
        <row r="1522">
          <cell r="A1522" t="str">
            <v>JTG63630</v>
          </cell>
        </row>
        <row r="1523">
          <cell r="A1523" t="str">
            <v>JXG61843-3</v>
          </cell>
        </row>
        <row r="1524">
          <cell r="A1524" t="str">
            <v>JXB63029</v>
          </cell>
        </row>
        <row r="1525">
          <cell r="A1525" t="str">
            <v>JKN63546-1</v>
          </cell>
        </row>
        <row r="1526">
          <cell r="A1526" t="str">
            <v>JXB63498</v>
          </cell>
        </row>
        <row r="1527">
          <cell r="A1527" t="str">
            <v>JDG51827H-10</v>
          </cell>
        </row>
        <row r="1528">
          <cell r="A1528" t="str">
            <v>JXG51555G-6</v>
          </cell>
        </row>
        <row r="1529">
          <cell r="A1529" t="str">
            <v>JGB33644G-10</v>
          </cell>
        </row>
        <row r="1530">
          <cell r="A1530" t="str">
            <v>JLG63604-1</v>
          </cell>
        </row>
        <row r="1531">
          <cell r="A1531" t="str">
            <v>JXG45003G-4</v>
          </cell>
        </row>
        <row r="1532">
          <cell r="A1532" t="str">
            <v>JXG620104Y-4</v>
          </cell>
        </row>
        <row r="1533">
          <cell r="A1533" t="str">
            <v>JJG63003-1</v>
          </cell>
        </row>
        <row r="1534">
          <cell r="A1534" t="str">
            <v>JXG63039</v>
          </cell>
        </row>
        <row r="1535">
          <cell r="A1535" t="str">
            <v>JXG63354</v>
          </cell>
        </row>
        <row r="1536">
          <cell r="A1536" t="str">
            <v>JXG63485</v>
          </cell>
        </row>
        <row r="1537">
          <cell r="A1537" t="str">
            <v>JXG63561</v>
          </cell>
        </row>
        <row r="1538">
          <cell r="A1538" t="str">
            <v>JMG51730-7</v>
          </cell>
        </row>
        <row r="1539">
          <cell r="A1539" t="str">
            <v>JXG63567</v>
          </cell>
        </row>
        <row r="1540">
          <cell r="A1540" t="str">
            <v>JHG63529-1</v>
          </cell>
        </row>
        <row r="1541">
          <cell r="A1541" t="str">
            <v>JTG620001Y-9</v>
          </cell>
        </row>
        <row r="1542">
          <cell r="A1542" t="str">
            <v>JMG55842-7</v>
          </cell>
        </row>
        <row r="1543">
          <cell r="A1543" t="str">
            <v>JQG63002-1</v>
          </cell>
        </row>
        <row r="1544">
          <cell r="A1544" t="str">
            <v>JJG63028-1</v>
          </cell>
        </row>
        <row r="1545">
          <cell r="A1545" t="str">
            <v>JXG63605-1</v>
          </cell>
        </row>
        <row r="1546">
          <cell r="A1546" t="str">
            <v>JLG63811-1</v>
          </cell>
        </row>
        <row r="1547">
          <cell r="A1547" t="str">
            <v>JGG63610-1</v>
          </cell>
        </row>
        <row r="1548">
          <cell r="A1548" t="str">
            <v>JJG51608-7</v>
          </cell>
        </row>
        <row r="1549">
          <cell r="A1549" t="str">
            <v>JJG51675-9</v>
          </cell>
        </row>
        <row r="1550">
          <cell r="A1550" t="str">
            <v>JJG63609-1</v>
          </cell>
        </row>
        <row r="1551">
          <cell r="A1551" t="str">
            <v>JDG55122-7</v>
          </cell>
        </row>
        <row r="1552">
          <cell r="A1552" t="str">
            <v>JXG63690</v>
          </cell>
        </row>
        <row r="1553">
          <cell r="A1553" t="str">
            <v>JKG63477-1</v>
          </cell>
        </row>
        <row r="1554">
          <cell r="A1554" t="str">
            <v>JXG63552-1</v>
          </cell>
        </row>
        <row r="1555">
          <cell r="A1555" t="str">
            <v>JXN63675</v>
          </cell>
        </row>
        <row r="1556">
          <cell r="A1556" t="str">
            <v>JJG61855-4</v>
          </cell>
        </row>
        <row r="1557">
          <cell r="A1557" t="str">
            <v>JXN55742-6</v>
          </cell>
        </row>
        <row r="1558">
          <cell r="A1558" t="str">
            <v>JJG52696-9</v>
          </cell>
        </row>
        <row r="1559">
          <cell r="A1559" t="str">
            <v>JTB63560-1</v>
          </cell>
        </row>
        <row r="1560">
          <cell r="A1560" t="str">
            <v>JLG63380-1</v>
          </cell>
        </row>
        <row r="1561">
          <cell r="A1561" t="str">
            <v>JKG63627-1</v>
          </cell>
        </row>
        <row r="1562">
          <cell r="A1562" t="str">
            <v>JRB63338</v>
          </cell>
        </row>
        <row r="1563">
          <cell r="A1563" t="str">
            <v>JCG63613-1</v>
          </cell>
        </row>
        <row r="1564">
          <cell r="A1564" t="str">
            <v>JLG63001</v>
          </cell>
        </row>
        <row r="1565">
          <cell r="A1565" t="str">
            <v>JJG63054-1</v>
          </cell>
        </row>
        <row r="1566">
          <cell r="A1566" t="str">
            <v>JTG63833-1</v>
          </cell>
        </row>
        <row r="1567">
          <cell r="A1567" t="str">
            <v>JKG65893</v>
          </cell>
        </row>
        <row r="1568">
          <cell r="A1568" t="str">
            <v>JQG65894</v>
          </cell>
        </row>
        <row r="1569">
          <cell r="A1569" t="str">
            <v>JQG65895</v>
          </cell>
        </row>
        <row r="1570">
          <cell r="A1570" t="str">
            <v>JXG65690</v>
          </cell>
        </row>
        <row r="1571">
          <cell r="A1571" t="str">
            <v>JRB65688</v>
          </cell>
        </row>
        <row r="1572">
          <cell r="A1572" t="str">
            <v>JHN65689</v>
          </cell>
        </row>
        <row r="1573">
          <cell r="A1573" t="str">
            <v>JMB65054</v>
          </cell>
        </row>
        <row r="1574">
          <cell r="A1574" t="str">
            <v>JGN65116</v>
          </cell>
        </row>
        <row r="1575">
          <cell r="A1575" t="str">
            <v>JHN64034</v>
          </cell>
        </row>
        <row r="1576">
          <cell r="A1576" t="str">
            <v>JTG65118</v>
          </cell>
        </row>
        <row r="1577">
          <cell r="A1577" t="str">
            <v>JRG65119</v>
          </cell>
        </row>
        <row r="1578">
          <cell r="A1578" t="str">
            <v>JDG65120</v>
          </cell>
        </row>
        <row r="1579">
          <cell r="A1579" t="str">
            <v>JVG65121</v>
          </cell>
        </row>
        <row r="1580">
          <cell r="A1580" t="str">
            <v>JAB64530</v>
          </cell>
        </row>
        <row r="1581">
          <cell r="A1581" t="str">
            <v>JTB65482</v>
          </cell>
        </row>
        <row r="1582">
          <cell r="A1582" t="str">
            <v>JJN64550</v>
          </cell>
        </row>
        <row r="1583">
          <cell r="A1583" t="str">
            <v>JHB65598</v>
          </cell>
        </row>
        <row r="1584">
          <cell r="A1584" t="str">
            <v>JHN65529</v>
          </cell>
        </row>
        <row r="1585">
          <cell r="A1585" t="str">
            <v>JMN65553</v>
          </cell>
        </row>
        <row r="1586">
          <cell r="A1586" t="str">
            <v>JMG65554</v>
          </cell>
        </row>
        <row r="1587">
          <cell r="A1587" t="str">
            <v>JMB65588</v>
          </cell>
        </row>
        <row r="1588">
          <cell r="A1588" t="str">
            <v>JMG65533</v>
          </cell>
        </row>
        <row r="1589">
          <cell r="A1589" t="str">
            <v>JMG65047</v>
          </cell>
        </row>
        <row r="1590">
          <cell r="A1590" t="str">
            <v>JMG65026</v>
          </cell>
        </row>
        <row r="1591">
          <cell r="A1591" t="str">
            <v>JMG65050</v>
          </cell>
        </row>
        <row r="1592">
          <cell r="A1592" t="str">
            <v>JHG64038</v>
          </cell>
        </row>
        <row r="1593">
          <cell r="A1593" t="str">
            <v>JHG65124</v>
          </cell>
        </row>
        <row r="1594">
          <cell r="A1594" t="str">
            <v>JQG65128</v>
          </cell>
        </row>
        <row r="1595">
          <cell r="A1595" t="str">
            <v>JKN65129</v>
          </cell>
        </row>
        <row r="1596">
          <cell r="A1596" t="str">
            <v>JQG65130</v>
          </cell>
        </row>
        <row r="1597">
          <cell r="A1597" t="str">
            <v>JZN64035</v>
          </cell>
        </row>
        <row r="1598">
          <cell r="A1598" t="str">
            <v>JZN64036</v>
          </cell>
        </row>
        <row r="1599">
          <cell r="A1599" t="str">
            <v>JKN64037</v>
          </cell>
        </row>
        <row r="1600">
          <cell r="A1600" t="str">
            <v>JQG65035</v>
          </cell>
        </row>
        <row r="1601">
          <cell r="A1601" t="str">
            <v>JEG65692</v>
          </cell>
        </row>
        <row r="1602">
          <cell r="A1602" t="str">
            <v>JEN64640</v>
          </cell>
        </row>
        <row r="1603">
          <cell r="A1603" t="str">
            <v>JKN65694</v>
          </cell>
        </row>
        <row r="1604">
          <cell r="A1604" t="str">
            <v>JJG64628</v>
          </cell>
        </row>
        <row r="1605">
          <cell r="A1605" t="str">
            <v>JMG65651</v>
          </cell>
        </row>
        <row r="1606">
          <cell r="A1606" t="str">
            <v>JMN65633</v>
          </cell>
        </row>
        <row r="1607">
          <cell r="A1607" t="str">
            <v>JEG64899</v>
          </cell>
        </row>
        <row r="1608">
          <cell r="A1608" t="str">
            <v>JGG65871</v>
          </cell>
        </row>
        <row r="1609">
          <cell r="A1609" t="str">
            <v>JEG65896</v>
          </cell>
        </row>
        <row r="1610">
          <cell r="A1610" t="str">
            <v>JJG64893</v>
          </cell>
        </row>
        <row r="1611">
          <cell r="A1611" t="str">
            <v>JVN64894</v>
          </cell>
        </row>
        <row r="1612">
          <cell r="A1612" t="str">
            <v>JVN64895</v>
          </cell>
        </row>
        <row r="1613">
          <cell r="A1613" t="str">
            <v>JJG64896</v>
          </cell>
        </row>
        <row r="1614">
          <cell r="A1614" t="str">
            <v>JHG65530</v>
          </cell>
        </row>
        <row r="1615">
          <cell r="A1615" t="str">
            <v>JHB65531</v>
          </cell>
        </row>
        <row r="1616">
          <cell r="A1616" t="str">
            <v>JMB65580</v>
          </cell>
        </row>
        <row r="1617">
          <cell r="A1617" t="str">
            <v>JMG65469</v>
          </cell>
        </row>
        <row r="1618">
          <cell r="A1618" t="str">
            <v>JMN65597</v>
          </cell>
        </row>
        <row r="1619">
          <cell r="A1619" t="str">
            <v>JRG65466</v>
          </cell>
        </row>
        <row r="1620">
          <cell r="A1620" t="str">
            <v>JTN65483</v>
          </cell>
        </row>
        <row r="1621">
          <cell r="A1621" t="str">
            <v>JHG64531</v>
          </cell>
        </row>
        <row r="1622">
          <cell r="A1622" t="str">
            <v>JQG65479</v>
          </cell>
        </row>
        <row r="1623">
          <cell r="A1623" t="str">
            <v>JGG65488</v>
          </cell>
        </row>
        <row r="1624">
          <cell r="A1624" t="str">
            <v>JJG65487</v>
          </cell>
        </row>
        <row r="1625">
          <cell r="A1625" t="str">
            <v>JRG65489</v>
          </cell>
        </row>
        <row r="1626">
          <cell r="A1626" t="str">
            <v>JRG65490</v>
          </cell>
        </row>
        <row r="1627">
          <cell r="A1627" t="str">
            <v>JKG65491</v>
          </cell>
        </row>
        <row r="1628">
          <cell r="A1628" t="str">
            <v>JKG65492</v>
          </cell>
        </row>
        <row r="1629">
          <cell r="A1629" t="str">
            <v>JQG620117Y-4</v>
          </cell>
        </row>
        <row r="1630">
          <cell r="A1630" t="str">
            <v>JLG63612-1</v>
          </cell>
        </row>
        <row r="1631">
          <cell r="A1631" t="str">
            <v>JLG63820-1</v>
          </cell>
        </row>
        <row r="1632">
          <cell r="A1632" t="str">
            <v>JTG41891-14</v>
          </cell>
        </row>
        <row r="1633">
          <cell r="A1633" t="str">
            <v>JXG63354-1</v>
          </cell>
        </row>
        <row r="1634">
          <cell r="A1634" t="str">
            <v>JXG63013-1</v>
          </cell>
        </row>
        <row r="1635">
          <cell r="A1635" t="str">
            <v>JXG51849-6</v>
          </cell>
        </row>
        <row r="1636">
          <cell r="A1636" t="str">
            <v>JHN63535-1</v>
          </cell>
        </row>
        <row r="1637">
          <cell r="A1637" t="str">
            <v>JTG53853-8</v>
          </cell>
        </row>
        <row r="1638">
          <cell r="A1638" t="str">
            <v>JDG51827H-11</v>
          </cell>
        </row>
        <row r="1639">
          <cell r="A1639" t="str">
            <v>JJG53405-8</v>
          </cell>
        </row>
        <row r="1640">
          <cell r="A1640" t="str">
            <v>JLG63604-2</v>
          </cell>
        </row>
        <row r="1641">
          <cell r="A1641" t="str">
            <v>JHG33052G-9</v>
          </cell>
        </row>
        <row r="1642">
          <cell r="A1642" t="str">
            <v>JTG63036-1</v>
          </cell>
        </row>
        <row r="1643">
          <cell r="A1643" t="str">
            <v>JJG63004-1</v>
          </cell>
        </row>
        <row r="1644">
          <cell r="A1644" t="str">
            <v>JXG63821-1</v>
          </cell>
        </row>
        <row r="1645">
          <cell r="A1645" t="str">
            <v>JTG63832-1</v>
          </cell>
        </row>
        <row r="1646">
          <cell r="A1646" t="str">
            <v>JQG63024-1</v>
          </cell>
        </row>
        <row r="1647">
          <cell r="A1647" t="str">
            <v>JKG63647-1</v>
          </cell>
        </row>
        <row r="1648">
          <cell r="A1648" t="str">
            <v>JKN51922-15</v>
          </cell>
        </row>
        <row r="1649">
          <cell r="A1649" t="str">
            <v>JCG63025-1</v>
          </cell>
        </row>
        <row r="1650">
          <cell r="A1650" t="str">
            <v>JHG63888-1</v>
          </cell>
        </row>
        <row r="1651">
          <cell r="A1651" t="str">
            <v>JGB63635-1</v>
          </cell>
        </row>
        <row r="1652">
          <cell r="A1652" t="str">
            <v>JJG63006-1</v>
          </cell>
        </row>
        <row r="1653">
          <cell r="A1653" t="str">
            <v>JJG63817-1</v>
          </cell>
        </row>
        <row r="1654">
          <cell r="A1654" t="str">
            <v>JGB63619-1</v>
          </cell>
        </row>
        <row r="1655">
          <cell r="A1655" t="str">
            <v>JHG63599-1</v>
          </cell>
        </row>
        <row r="1656">
          <cell r="A1656" t="str">
            <v>JQG63841-1</v>
          </cell>
        </row>
        <row r="1657">
          <cell r="A1657" t="str">
            <v>JJG63609-3</v>
          </cell>
        </row>
        <row r="1658">
          <cell r="A1658" t="str">
            <v>JHB23069G-15</v>
          </cell>
        </row>
        <row r="1659">
          <cell r="A1659" t="str">
            <v>JJG63609-2</v>
          </cell>
        </row>
        <row r="1660">
          <cell r="A1660" t="str">
            <v>JHG63889-1</v>
          </cell>
        </row>
        <row r="1661">
          <cell r="A1661" t="str">
            <v>JKB63018-1</v>
          </cell>
        </row>
        <row r="1666">
          <cell r="A1666" t="str">
            <v>JKB63507</v>
          </cell>
        </row>
        <row r="1667">
          <cell r="A1667" t="str">
            <v>JLB63509</v>
          </cell>
        </row>
        <row r="1668">
          <cell r="A1668" t="str">
            <v>JXG63603</v>
          </cell>
        </row>
        <row r="1669">
          <cell r="A1669" t="str">
            <v>JLG63604</v>
          </cell>
        </row>
        <row r="1670">
          <cell r="A1670" t="str">
            <v>JTG63621</v>
          </cell>
        </row>
        <row r="1671">
          <cell r="A1671" t="str">
            <v>JLG63607</v>
          </cell>
        </row>
        <row r="1672">
          <cell r="A1672" t="str">
            <v>JMG63608</v>
          </cell>
        </row>
        <row r="1673">
          <cell r="A1673" t="str">
            <v>JQG63611</v>
          </cell>
        </row>
        <row r="1674">
          <cell r="A1674" t="str">
            <v>JCG63613</v>
          </cell>
        </row>
        <row r="1675">
          <cell r="A1675" t="str">
            <v>JQG63002</v>
          </cell>
        </row>
        <row r="1676">
          <cell r="A1676" t="str">
            <v>JJG63003</v>
          </cell>
        </row>
        <row r="1677">
          <cell r="A1677" t="str">
            <v>JHN63535</v>
          </cell>
        </row>
        <row r="1678">
          <cell r="A1678" t="str">
            <v>JTG63536</v>
          </cell>
        </row>
        <row r="1679">
          <cell r="A1679" t="str">
            <v>JQG63527</v>
          </cell>
        </row>
        <row r="1680">
          <cell r="A1680" t="str">
            <v>JCG63531</v>
          </cell>
        </row>
        <row r="1681">
          <cell r="A1681" t="str">
            <v>JTG63532</v>
          </cell>
        </row>
        <row r="1682">
          <cell r="A1682" t="str">
            <v>JXG63605</v>
          </cell>
        </row>
        <row r="1683">
          <cell r="A1683" t="str">
            <v>JTN63539</v>
          </cell>
        </row>
        <row r="1684">
          <cell r="A1684" t="str">
            <v>JXB63540</v>
          </cell>
        </row>
        <row r="1685">
          <cell r="A1685" t="str">
            <v>JJG63006</v>
          </cell>
        </row>
        <row r="1686">
          <cell r="A1686" t="str">
            <v>JKG63812</v>
          </cell>
        </row>
        <row r="1687">
          <cell r="A1687" t="str">
            <v>JXB63008</v>
          </cell>
        </row>
        <row r="1688">
          <cell r="A1688" t="str">
            <v>JQG63007</v>
          </cell>
        </row>
        <row r="1689">
          <cell r="A1689" t="str">
            <v>JQG63012</v>
          </cell>
        </row>
        <row r="1690">
          <cell r="A1690" t="str">
            <v>JXB63017</v>
          </cell>
        </row>
        <row r="1691">
          <cell r="A1691" t="str">
            <v>JDG63011</v>
          </cell>
        </row>
        <row r="1692">
          <cell r="A1692" t="str">
            <v>JQG63622</v>
          </cell>
        </row>
        <row r="1693">
          <cell r="A1693" t="str">
            <v>JCG63633</v>
          </cell>
        </row>
        <row r="1694">
          <cell r="A1694" t="str">
            <v>JKN63546</v>
          </cell>
        </row>
        <row r="1695">
          <cell r="A1695" t="str">
            <v>JXG63551</v>
          </cell>
        </row>
        <row r="1696">
          <cell r="A1696" t="str">
            <v>JXG63815</v>
          </cell>
        </row>
        <row r="1697">
          <cell r="A1697" t="str">
            <v>JMG63816</v>
          </cell>
        </row>
        <row r="1698">
          <cell r="A1698" t="str">
            <v>JKB63018</v>
          </cell>
        </row>
        <row r="1699">
          <cell r="A1699" t="str">
            <v>JLG63820</v>
          </cell>
        </row>
        <row r="1700">
          <cell r="A1700" t="str">
            <v>JJG63806</v>
          </cell>
        </row>
        <row r="1701">
          <cell r="A1701" t="str">
            <v>JXB63553</v>
          </cell>
        </row>
        <row r="1702">
          <cell r="A1702" t="str">
            <v>JXB63642</v>
          </cell>
        </row>
        <row r="1703">
          <cell r="A1703" t="str">
            <v>JXB63643</v>
          </cell>
        </row>
        <row r="1704">
          <cell r="A1704" t="str">
            <v>JHG63555</v>
          </cell>
        </row>
        <row r="1705">
          <cell r="A1705" t="str">
            <v>JXG63821</v>
          </cell>
        </row>
        <row r="1706">
          <cell r="A1706" t="str">
            <v>JXB63563</v>
          </cell>
        </row>
        <row r="1707">
          <cell r="A1707" t="str">
            <v>JXB63564</v>
          </cell>
        </row>
        <row r="1708">
          <cell r="A1708" t="str">
            <v>JQG63024</v>
          </cell>
        </row>
        <row r="1709">
          <cell r="A1709" t="str">
            <v>JTG63570</v>
          </cell>
        </row>
        <row r="1710">
          <cell r="A1710" t="str">
            <v>JRG63829</v>
          </cell>
        </row>
        <row r="1711">
          <cell r="A1711" t="str">
            <v>JTB63033</v>
          </cell>
        </row>
        <row r="1712">
          <cell r="A1712" t="str">
            <v>JJN63559</v>
          </cell>
        </row>
        <row r="1713">
          <cell r="A1713" t="str">
            <v>JXG63581</v>
          </cell>
        </row>
        <row r="1714">
          <cell r="A1714" t="str">
            <v>JLG63653</v>
          </cell>
        </row>
        <row r="1715">
          <cell r="A1715" t="str">
            <v>JJG63571</v>
          </cell>
        </row>
        <row r="1716">
          <cell r="A1716" t="str">
            <v>JXG63676</v>
          </cell>
        </row>
        <row r="1717">
          <cell r="A1717" t="str">
            <v>JHG63851</v>
          </cell>
        </row>
        <row r="1718">
          <cell r="A1718" t="str">
            <v>JTG63883</v>
          </cell>
        </row>
        <row r="1719">
          <cell r="A1719" t="str">
            <v>JTG63884</v>
          </cell>
        </row>
        <row r="1720">
          <cell r="A1720" t="str">
            <v>JJG63885</v>
          </cell>
        </row>
        <row r="1721">
          <cell r="A1721" t="str">
            <v>JXG63886</v>
          </cell>
        </row>
        <row r="1722">
          <cell r="A1722" t="str">
            <v>JHG63888</v>
          </cell>
        </row>
        <row r="1723">
          <cell r="A1723" t="str">
            <v>JHG63889</v>
          </cell>
        </row>
        <row r="1724">
          <cell r="A1724" t="str">
            <v>JLG63698</v>
          </cell>
        </row>
        <row r="1725">
          <cell r="A1725" t="str">
            <v>JKG63478</v>
          </cell>
        </row>
        <row r="1726">
          <cell r="A1726" t="str">
            <v>JXN63660</v>
          </cell>
        </row>
        <row r="1727">
          <cell r="A1727" t="str">
            <v>JZN65133</v>
          </cell>
        </row>
        <row r="1728">
          <cell r="A1728" t="str">
            <v>JZN65495</v>
          </cell>
        </row>
        <row r="1729">
          <cell r="A1729" t="str">
            <v>JGG64533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Q6"/>
  <sheetViews>
    <sheetView showGridLines="0" showZeros="0" tabSelected="1" zoomScale="80" zoomScaleNormal="80" workbookViewId="0">
      <pane xSplit="14" ySplit="1" topLeftCell="AL2" activePane="bottomRight" state="frozen"/>
      <selection/>
      <selection pane="topRight"/>
      <selection pane="bottomLeft"/>
      <selection pane="bottomRight" activeCell="K4" sqref="K4"/>
    </sheetView>
  </sheetViews>
  <sheetFormatPr defaultColWidth="9" defaultRowHeight="75" customHeight="1" outlineLevelRow="5"/>
  <cols>
    <col min="1" max="2" width="6.875" style="2" customWidth="1"/>
    <col min="3" max="3" width="12.375" style="3" customWidth="1"/>
    <col min="4" max="4" width="12.375" style="4" customWidth="1"/>
    <col min="5" max="5" width="20" style="2" customWidth="1"/>
    <col min="6" max="7" width="4.625" style="5" customWidth="1"/>
    <col min="8" max="8" width="5.125" style="5" customWidth="1"/>
    <col min="9" max="9" width="6.875" style="5" customWidth="1"/>
    <col min="10" max="10" width="5.5" style="5" customWidth="1"/>
    <col min="11" max="11" width="7.375" style="5" customWidth="1"/>
    <col min="12" max="12" width="9.375" style="6" customWidth="1"/>
    <col min="13" max="13" width="9.375" style="7" customWidth="1"/>
    <col min="14" max="14" width="8.375" style="8" customWidth="1"/>
    <col min="15" max="16" width="9.625" style="9" customWidth="1"/>
    <col min="17" max="17" width="7.625" style="10" customWidth="1" outlineLevel="1"/>
    <col min="18" max="18" width="7.625" style="11" customWidth="1" outlineLevel="1"/>
    <col min="19" max="19" width="9.375" style="11" customWidth="1" outlineLevel="1"/>
    <col min="20" max="20" width="7.05" style="10" customWidth="1" outlineLevel="1"/>
    <col min="21" max="21" width="6.46666666666667" style="12" customWidth="1" outlineLevel="1"/>
    <col min="22" max="22" width="10.75" style="13" customWidth="1"/>
    <col min="23" max="23" width="11.25" style="13" customWidth="1" outlineLevel="1"/>
    <col min="24" max="24" width="7.5" style="13" customWidth="1" outlineLevel="1"/>
    <col min="25" max="25" width="8.625" style="14" customWidth="1"/>
    <col min="26" max="26" width="9.21666666666667" style="13" customWidth="1"/>
    <col min="27" max="30" width="10.625" style="15" customWidth="1"/>
    <col min="31" max="31" width="10.625" style="13" customWidth="1"/>
    <col min="32" max="32" width="7.5" style="16" customWidth="1"/>
    <col min="33" max="33" width="6.625" style="17" customWidth="1"/>
    <col min="34" max="34" width="7.5" style="18" customWidth="1"/>
    <col min="35" max="36" width="8.625" style="19" customWidth="1"/>
    <col min="37" max="37" width="6.70833333333333" style="20" customWidth="1"/>
    <col min="38" max="38" width="8.925" style="21" customWidth="1"/>
    <col min="39" max="39" width="17.1916666666667" style="22" customWidth="1"/>
    <col min="40" max="41" width="10.125" style="21" customWidth="1"/>
    <col min="42" max="42" width="10.3166666666667" style="21" customWidth="1"/>
    <col min="43" max="43" width="10" style="21" customWidth="1"/>
    <col min="44" max="44" width="16.0416666666667" style="22" customWidth="1"/>
    <col min="45" max="45" width="10" style="23" customWidth="1"/>
    <col min="46" max="46" width="9.625" style="24" customWidth="1"/>
    <col min="47" max="47" width="10" style="23" customWidth="1"/>
    <col min="48" max="48" width="11.25" style="25" customWidth="1"/>
    <col min="49" max="50" width="11" style="26" customWidth="1"/>
    <col min="51" max="51" width="14.375" style="27" customWidth="1" outlineLevel="1"/>
    <col min="52" max="53" width="12.8166666666667" style="27" customWidth="1" outlineLevel="1"/>
    <col min="54" max="54" width="11.25" style="28" customWidth="1" outlineLevel="1"/>
    <col min="55" max="55" width="9" style="27" customWidth="1" outlineLevel="1"/>
    <col min="56" max="56" width="11.875" style="29" customWidth="1" outlineLevel="1"/>
    <col min="57" max="57" width="10.15" style="29" customWidth="1" outlineLevel="1"/>
    <col min="58" max="59" width="9" style="27" customWidth="1" outlineLevel="1"/>
    <col min="60" max="60" width="9.25" style="27" customWidth="1" outlineLevel="1"/>
    <col min="61" max="62" width="9" style="27" customWidth="1" outlineLevel="1"/>
    <col min="63" max="63" width="14.375" style="27" customWidth="1" outlineLevel="1"/>
    <col min="64" max="64" width="9" style="27" customWidth="1" outlineLevel="1"/>
    <col min="65" max="65" width="10.3083333333333" style="27" customWidth="1" outlineLevel="1"/>
    <col min="66" max="66" width="9.53333333333333" style="27" customWidth="1" outlineLevel="1"/>
    <col min="67" max="67" width="17.6666666666667" style="27" customWidth="1" outlineLevel="1"/>
    <col min="68" max="68" width="15.9416666666667" style="27" customWidth="1" outlineLevel="1"/>
    <col min="69" max="69" width="12.375" style="27" customWidth="1" outlineLevel="1"/>
    <col min="70" max="70" width="9" style="27" customWidth="1" outlineLevel="1"/>
    <col min="71" max="71" width="6.75" style="30" customWidth="1" outlineLevel="1"/>
    <col min="72" max="72" width="8.875" style="22" customWidth="1"/>
    <col min="73" max="73" width="8.74166666666667" style="31" customWidth="1"/>
    <col min="74" max="77" width="5.625" style="32" customWidth="1"/>
    <col min="78" max="79" width="8.625" style="33" customWidth="1"/>
    <col min="80" max="80" width="8.625" style="25" customWidth="1"/>
    <col min="81" max="81" width="13.125" style="34" customWidth="1"/>
    <col min="82" max="82" width="8.625" style="35" hidden="1" customWidth="1"/>
    <col min="83" max="84" width="8.5" style="36" hidden="1" customWidth="1"/>
    <col min="85" max="85" width="11.25" style="25" hidden="1" customWidth="1" collapsed="1"/>
    <col min="86" max="86" width="8.625" style="14" hidden="1" customWidth="1" outlineLevel="1"/>
    <col min="87" max="92" width="7.375" style="14" hidden="1" customWidth="1" outlineLevel="1"/>
    <col min="93" max="96" width="9.25" style="14" hidden="1" customWidth="1" outlineLevel="1"/>
    <col min="97" max="98" width="9" style="37" hidden="1" customWidth="1"/>
    <col min="99" max="99" width="13.75" style="37" hidden="1" customWidth="1"/>
    <col min="100" max="100" width="8.90833333333333" style="38" hidden="1" customWidth="1"/>
    <col min="101" max="101" width="9" style="37" hidden="1" customWidth="1"/>
    <col min="102" max="102" width="13.75" style="37" hidden="1" customWidth="1"/>
    <col min="103" max="103" width="10.3083333333333" style="39" hidden="1" customWidth="1"/>
    <col min="104" max="104" width="10.3083333333333" style="40" hidden="1" customWidth="1"/>
    <col min="105" max="105" width="14.375" style="40" hidden="1" customWidth="1"/>
    <col min="106" max="107" width="9.375" style="41" hidden="1" customWidth="1"/>
    <col min="108" max="108" width="9.375" style="41" hidden="1" customWidth="1" collapsed="1"/>
    <col min="109" max="111" width="7.125" style="42" hidden="1" customWidth="1" outlineLevel="1"/>
    <col min="112" max="112" width="9.375" style="43" hidden="1" customWidth="1"/>
    <col min="113" max="113" width="9.375" style="41" hidden="1" customWidth="1"/>
    <col min="114" max="114" width="9" style="44" hidden="1" customWidth="1"/>
    <col min="115" max="115" width="9" style="45" hidden="1" customWidth="1"/>
    <col min="116" max="116" width="8.625" style="46" customWidth="1"/>
    <col min="117" max="117" width="10.375" style="47" hidden="1" customWidth="1"/>
    <col min="118" max="118" width="13.9083333333333" style="47" hidden="1" customWidth="1"/>
    <col min="119" max="120" width="9.53333333333333" style="48" hidden="1" customWidth="1"/>
    <col min="121" max="121" width="8.625" style="49" hidden="1" customWidth="1"/>
    <col min="122" max="122" width="8.625" style="50" customWidth="1"/>
    <col min="123" max="123" width="8.625" style="47" hidden="1" customWidth="1"/>
    <col min="124" max="124" width="17.6416666666667" style="47" hidden="1" customWidth="1"/>
    <col min="125" max="125" width="8.625" style="51" hidden="1" customWidth="1"/>
    <col min="126" max="126" width="13.625" style="47" hidden="1" customWidth="1"/>
    <col min="127" max="127" width="8.625" style="46" customWidth="1"/>
    <col min="128" max="129" width="10.3166666666667" style="52" hidden="1" customWidth="1"/>
    <col min="130" max="130" width="13.125" style="52" hidden="1" customWidth="1"/>
    <col min="131" max="131" width="11.875" style="52" hidden="1" customWidth="1"/>
    <col min="132" max="132" width="16.525" style="52" hidden="1" customWidth="1"/>
    <col min="133" max="133" width="8.625" style="53" hidden="1" customWidth="1"/>
    <col min="134" max="134" width="12.5" style="52" hidden="1" customWidth="1"/>
    <col min="135" max="135" width="9.21666666666667" style="54" hidden="1" customWidth="1"/>
    <col min="136" max="136" width="8.625" style="46" customWidth="1"/>
    <col min="137" max="137" width="10" style="47" hidden="1" customWidth="1"/>
    <col min="138" max="138" width="14.4666666666667" style="48" hidden="1" customWidth="1"/>
    <col min="139" max="139" width="11.4083333333333" style="48" hidden="1" customWidth="1"/>
    <col min="140" max="140" width="7.5" style="48" hidden="1" customWidth="1"/>
    <col min="141" max="141" width="8.625" style="49" hidden="1" customWidth="1"/>
    <col min="142" max="142" width="8.625" style="46" customWidth="1"/>
    <col min="143" max="143" width="8.625" style="47" customWidth="1"/>
    <col min="144" max="144" width="8.625" style="52" hidden="1" customWidth="1"/>
    <col min="145" max="145" width="8.625" style="55" hidden="1" customWidth="1"/>
    <col min="146" max="146" width="8.625" style="46" customWidth="1"/>
    <col min="147" max="147" width="8.74166666666667" style="47" hidden="1" customWidth="1"/>
    <col min="148" max="148" width="8.625" style="47" hidden="1" customWidth="1"/>
    <col min="149" max="149" width="8.625" style="48" hidden="1" customWidth="1"/>
    <col min="150" max="150" width="22.3583333333333" style="47" hidden="1" customWidth="1"/>
    <col min="151" max="151" width="21.0916666666667" style="47" hidden="1" customWidth="1"/>
    <col min="152" max="152" width="8.625" style="56" hidden="1" customWidth="1"/>
    <col min="153" max="153" width="8.625" style="46" customWidth="1"/>
    <col min="154" max="154" width="8.625" style="47" hidden="1" customWidth="1"/>
    <col min="155" max="155" width="19.725" style="48" hidden="1" customWidth="1"/>
    <col min="156" max="156" width="7.96666666666667" style="47" hidden="1" customWidth="1"/>
    <col min="157" max="157" width="8.625" style="49" hidden="1" customWidth="1"/>
    <col min="158" max="158" width="8.625" style="46" customWidth="1"/>
    <col min="159" max="160" width="8.625" style="47" hidden="1" customWidth="1"/>
    <col min="161" max="161" width="8.625" style="57" hidden="1" customWidth="1"/>
    <col min="162" max="162" width="9" style="58" hidden="1" customWidth="1"/>
    <col min="163" max="163" width="9" style="59" hidden="1" customWidth="1"/>
    <col min="164" max="164" width="9.84166666666667" style="60" hidden="1" customWidth="1"/>
    <col min="165" max="165" width="9" style="61" hidden="1" customWidth="1"/>
    <col min="166" max="166" width="9" style="62" hidden="1" customWidth="1"/>
    <col min="167" max="167" width="9.99166666666667" style="46" customWidth="1"/>
    <col min="168" max="168" width="10.1583333333333" style="63" hidden="1" customWidth="1"/>
    <col min="169" max="170" width="13.625" style="63" hidden="1" customWidth="1"/>
    <col min="171" max="172" width="9.125" style="63" hidden="1" customWidth="1"/>
    <col min="173" max="173" width="8.625" style="64" hidden="1" customWidth="1"/>
    <col min="174" max="16384" width="9" style="2"/>
  </cols>
  <sheetData>
    <row r="1" s="1" customFormat="1" ht="48" customHeight="1" spans="1:173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6" t="s">
        <v>17</v>
      </c>
      <c r="S1" s="65" t="s">
        <v>18</v>
      </c>
      <c r="T1" s="65" t="s">
        <v>19</v>
      </c>
      <c r="U1" s="67" t="s">
        <v>20</v>
      </c>
      <c r="V1" s="65" t="s">
        <v>21</v>
      </c>
      <c r="W1" s="65" t="s">
        <v>22</v>
      </c>
      <c r="X1" s="65" t="s">
        <v>23</v>
      </c>
      <c r="Y1" s="65" t="s">
        <v>24</v>
      </c>
      <c r="Z1" s="65" t="s">
        <v>25</v>
      </c>
      <c r="AA1" s="65" t="s">
        <v>26</v>
      </c>
      <c r="AB1" s="65" t="s">
        <v>27</v>
      </c>
      <c r="AC1" s="65" t="s">
        <v>28</v>
      </c>
      <c r="AD1" s="65" t="s">
        <v>29</v>
      </c>
      <c r="AE1" s="65" t="s">
        <v>30</v>
      </c>
      <c r="AF1" s="68" t="s">
        <v>31</v>
      </c>
      <c r="AG1" s="65" t="s">
        <v>32</v>
      </c>
      <c r="AH1" s="65" t="s">
        <v>33</v>
      </c>
      <c r="AI1" s="69" t="s">
        <v>34</v>
      </c>
      <c r="AJ1" s="65" t="s">
        <v>35</v>
      </c>
      <c r="AK1" s="65" t="s">
        <v>36</v>
      </c>
      <c r="AL1" s="69" t="s">
        <v>37</v>
      </c>
      <c r="AM1" s="69" t="s">
        <v>38</v>
      </c>
      <c r="AN1" s="69" t="s">
        <v>39</v>
      </c>
      <c r="AO1" s="69" t="s">
        <v>40</v>
      </c>
      <c r="AP1" s="69" t="s">
        <v>41</v>
      </c>
      <c r="AQ1" s="69" t="s">
        <v>42</v>
      </c>
      <c r="AR1" s="65" t="s">
        <v>43</v>
      </c>
      <c r="AS1" s="65" t="s">
        <v>44</v>
      </c>
      <c r="AT1" s="69" t="s">
        <v>45</v>
      </c>
      <c r="AU1" s="65" t="s">
        <v>46</v>
      </c>
      <c r="AV1" s="65" t="s">
        <v>47</v>
      </c>
      <c r="AW1" s="70" t="s">
        <v>48</v>
      </c>
      <c r="AX1" s="70" t="s">
        <v>49</v>
      </c>
      <c r="AY1" s="65" t="s">
        <v>50</v>
      </c>
      <c r="AZ1" s="65" t="s">
        <v>51</v>
      </c>
      <c r="BA1" s="65" t="s">
        <v>52</v>
      </c>
      <c r="BB1" s="65" t="s">
        <v>53</v>
      </c>
      <c r="BC1" s="65" t="s">
        <v>54</v>
      </c>
      <c r="BD1" s="65" t="s">
        <v>55</v>
      </c>
      <c r="BE1" s="65" t="s">
        <v>56</v>
      </c>
      <c r="BF1" s="65" t="s">
        <v>57</v>
      </c>
      <c r="BG1" s="65" t="s">
        <v>58</v>
      </c>
      <c r="BH1" s="65" t="s">
        <v>59</v>
      </c>
      <c r="BI1" s="65" t="s">
        <v>60</v>
      </c>
      <c r="BJ1" s="65" t="s">
        <v>61</v>
      </c>
      <c r="BK1" s="65" t="s">
        <v>62</v>
      </c>
      <c r="BL1" s="65" t="s">
        <v>63</v>
      </c>
      <c r="BM1" s="65" t="s">
        <v>64</v>
      </c>
      <c r="BN1" s="65" t="s">
        <v>65</v>
      </c>
      <c r="BO1" s="65" t="s">
        <v>66</v>
      </c>
      <c r="BP1" s="65" t="s">
        <v>67</v>
      </c>
      <c r="BQ1" s="65" t="s">
        <v>68</v>
      </c>
      <c r="BR1" s="65" t="s">
        <v>69</v>
      </c>
      <c r="BS1" s="67" t="s">
        <v>70</v>
      </c>
      <c r="BT1" s="69" t="s">
        <v>71</v>
      </c>
      <c r="BU1" s="69" t="s">
        <v>72</v>
      </c>
      <c r="BV1" s="65" t="s">
        <v>73</v>
      </c>
      <c r="BW1" s="65" t="s">
        <v>74</v>
      </c>
      <c r="BX1" s="65" t="s">
        <v>75</v>
      </c>
      <c r="BY1" s="65" t="s">
        <v>76</v>
      </c>
      <c r="BZ1" s="69" t="s">
        <v>77</v>
      </c>
      <c r="CA1" s="69" t="s">
        <v>78</v>
      </c>
      <c r="CB1" s="65" t="s">
        <v>79</v>
      </c>
      <c r="CC1" s="65" t="s">
        <v>80</v>
      </c>
      <c r="CD1" s="69" t="s">
        <v>81</v>
      </c>
      <c r="CE1" s="65" t="s">
        <v>82</v>
      </c>
      <c r="CF1" s="65" t="s">
        <v>83</v>
      </c>
      <c r="CG1" s="65" t="s">
        <v>84</v>
      </c>
      <c r="CH1" s="65" t="s">
        <v>85</v>
      </c>
      <c r="CI1" s="65" t="s">
        <v>86</v>
      </c>
      <c r="CJ1" s="65" t="s">
        <v>87</v>
      </c>
      <c r="CK1" s="65" t="s">
        <v>88</v>
      </c>
      <c r="CL1" s="65" t="s">
        <v>89</v>
      </c>
      <c r="CM1" s="65" t="s">
        <v>90</v>
      </c>
      <c r="CN1" s="65" t="s">
        <v>25</v>
      </c>
      <c r="CO1" s="65" t="s">
        <v>91</v>
      </c>
      <c r="CP1" s="65" t="s">
        <v>92</v>
      </c>
      <c r="CQ1" s="65" t="s">
        <v>93</v>
      </c>
      <c r="CR1" s="65" t="s">
        <v>94</v>
      </c>
      <c r="CS1" s="71" t="s">
        <v>63</v>
      </c>
      <c r="CT1" s="71" t="s">
        <v>64</v>
      </c>
      <c r="CU1" s="71" t="s">
        <v>67</v>
      </c>
      <c r="CV1" s="69" t="s">
        <v>95</v>
      </c>
      <c r="CW1" s="71" t="s">
        <v>96</v>
      </c>
      <c r="CX1" s="71" t="s">
        <v>97</v>
      </c>
      <c r="CY1" s="72" t="s">
        <v>25</v>
      </c>
      <c r="CZ1" s="71" t="s">
        <v>26</v>
      </c>
      <c r="DA1" s="71" t="s">
        <v>98</v>
      </c>
      <c r="DB1" s="69" t="s">
        <v>44</v>
      </c>
      <c r="DC1" s="69" t="s">
        <v>45</v>
      </c>
      <c r="DD1" s="69" t="s">
        <v>65</v>
      </c>
      <c r="DE1" s="73" t="s">
        <v>99</v>
      </c>
      <c r="DF1" s="73" t="s">
        <v>100</v>
      </c>
      <c r="DG1" s="73" t="s">
        <v>101</v>
      </c>
      <c r="DH1" s="69" t="s">
        <v>102</v>
      </c>
      <c r="DI1" s="69" t="s">
        <v>103</v>
      </c>
      <c r="DJ1" s="69" t="s">
        <v>38</v>
      </c>
      <c r="DK1" s="74" t="s">
        <v>37</v>
      </c>
      <c r="DL1" s="75" t="s">
        <v>104</v>
      </c>
      <c r="DM1" s="69" t="s">
        <v>105</v>
      </c>
      <c r="DN1" s="76" t="s">
        <v>106</v>
      </c>
      <c r="DO1" s="77" t="s">
        <v>44</v>
      </c>
      <c r="DP1" s="77" t="s">
        <v>107</v>
      </c>
      <c r="DQ1" s="78" t="s">
        <v>108</v>
      </c>
      <c r="DR1" s="79" t="s">
        <v>109</v>
      </c>
      <c r="DS1" s="69" t="s">
        <v>110</v>
      </c>
      <c r="DT1" s="76" t="s">
        <v>111</v>
      </c>
      <c r="DU1" s="76" t="s">
        <v>112</v>
      </c>
      <c r="DV1" s="76" t="s">
        <v>113</v>
      </c>
      <c r="DW1" s="75" t="s">
        <v>114</v>
      </c>
      <c r="DX1" s="69" t="s">
        <v>115</v>
      </c>
      <c r="DY1" s="76" t="s">
        <v>116</v>
      </c>
      <c r="DZ1" s="76" t="s">
        <v>117</v>
      </c>
      <c r="EA1" s="76" t="s">
        <v>118</v>
      </c>
      <c r="EB1" s="76" t="s">
        <v>119</v>
      </c>
      <c r="EC1" s="80" t="s">
        <v>120</v>
      </c>
      <c r="ED1" s="80" t="s">
        <v>121</v>
      </c>
      <c r="EE1" s="81" t="s">
        <v>122</v>
      </c>
      <c r="EF1" s="75" t="s">
        <v>123</v>
      </c>
      <c r="EG1" s="69" t="s">
        <v>124</v>
      </c>
      <c r="EH1" s="77" t="s">
        <v>125</v>
      </c>
      <c r="EI1" s="77" t="s">
        <v>126</v>
      </c>
      <c r="EJ1" s="77" t="s">
        <v>127</v>
      </c>
      <c r="EK1" s="78" t="s">
        <v>128</v>
      </c>
      <c r="EL1" s="75" t="s">
        <v>129</v>
      </c>
      <c r="EM1" s="69" t="s">
        <v>130</v>
      </c>
      <c r="EN1" s="69" t="s">
        <v>131</v>
      </c>
      <c r="EO1" s="78" t="s">
        <v>132</v>
      </c>
      <c r="EP1" s="75" t="s">
        <v>133</v>
      </c>
      <c r="EQ1" s="69" t="s">
        <v>134</v>
      </c>
      <c r="ER1" s="69" t="s">
        <v>131</v>
      </c>
      <c r="ES1" s="77" t="s">
        <v>135</v>
      </c>
      <c r="ET1" s="76" t="s">
        <v>136</v>
      </c>
      <c r="EU1" s="76" t="s">
        <v>137</v>
      </c>
      <c r="EV1" s="78" t="s">
        <v>108</v>
      </c>
      <c r="EW1" s="75" t="s">
        <v>138</v>
      </c>
      <c r="EX1" s="69" t="s">
        <v>139</v>
      </c>
      <c r="EY1" s="77">
        <v>46216</v>
      </c>
      <c r="EZ1" s="76" t="s">
        <v>127</v>
      </c>
      <c r="FA1" s="78" t="s">
        <v>140</v>
      </c>
      <c r="FB1" s="75" t="s">
        <v>141</v>
      </c>
      <c r="FC1" s="76" t="s">
        <v>142</v>
      </c>
      <c r="FD1" s="76" t="s">
        <v>143</v>
      </c>
      <c r="FE1" s="82" t="s">
        <v>144</v>
      </c>
      <c r="FF1" s="83" t="s">
        <v>145</v>
      </c>
      <c r="FG1" s="84" t="s">
        <v>146</v>
      </c>
      <c r="FH1" s="85" t="s">
        <v>147</v>
      </c>
      <c r="FI1" s="86" t="s">
        <v>148</v>
      </c>
      <c r="FJ1" s="87" t="s">
        <v>149</v>
      </c>
      <c r="FK1" s="75" t="s">
        <v>150</v>
      </c>
      <c r="FL1" s="76" t="s">
        <v>151</v>
      </c>
      <c r="FM1" s="76" t="s">
        <v>152</v>
      </c>
      <c r="FN1" s="76" t="s">
        <v>153</v>
      </c>
      <c r="FO1" s="76" t="s">
        <v>154</v>
      </c>
      <c r="FP1" s="76" t="s">
        <v>155</v>
      </c>
      <c r="FQ1" s="82" t="s">
        <v>156</v>
      </c>
    </row>
    <row r="2" customHeight="1" spans="1:173">
      <c r="A2" s="88" t="s">
        <v>157</v>
      </c>
      <c r="B2" s="88" t="s">
        <v>158</v>
      </c>
      <c r="C2" s="89" t="str">
        <f>IFERROR(VLOOKUP(D2,[1]货期表关联!A:A,1,0),"")</f>
        <v>JJG64886</v>
      </c>
      <c r="D2" s="90" t="s">
        <v>159</v>
      </c>
      <c r="E2" s="88" t="str">
        <f>_xlfn.DISPIMG("ID_9E8B45BE9E824B3EB294784BEFDF8B33",1)</f>
        <v>=DISPIMG("ID_9E8B45BE9E824B3EB294784BEFDF8B33",1)</v>
      </c>
      <c r="F2" s="88" t="str">
        <f>MID(D2,5,1)</f>
        <v>4</v>
      </c>
      <c r="G2" s="88" t="str">
        <f>MID(D2,3,1)</f>
        <v>G</v>
      </c>
      <c r="H2" s="91">
        <v>1</v>
      </c>
      <c r="I2" s="88" t="str">
        <f>IF(F2="1","春款",IF(F2="2","夏款",IF(F2="5","深秋",IF(F2="3","秋款",IF(F2="0","通季",IF(F2="4","冬款",""))))))</f>
        <v>冬款</v>
      </c>
      <c r="J2" s="88" t="str">
        <f>IF(G2="G","女童",IF(G2="N","中性",IF(G2="B","男童")))</f>
        <v>女童</v>
      </c>
      <c r="K2" s="88" t="str">
        <f>VLOOKUP(L2,[1]辅助表!K:M,2,0)</f>
        <v>大童</v>
      </c>
      <c r="L2" s="92" t="s">
        <v>160</v>
      </c>
      <c r="M2" s="93" t="str">
        <f>VLOOKUP(MID(D2,2,1),[1]辅助表!W:X,2,0)</f>
        <v>13外套</v>
      </c>
      <c r="N2" s="93" t="s">
        <v>161</v>
      </c>
      <c r="O2" s="93"/>
      <c r="P2" s="93"/>
      <c r="Q2" s="94" t="str">
        <f>VLOOKUP(L2,[1]辅助表!K:M,3,0)</f>
        <v>儿童</v>
      </c>
      <c r="R2" s="95" t="str">
        <f>IFERROR(VLOOKUP(M2&amp;Q2,[1]辅助表!R:S,2,0),"")</f>
        <v>儿童外套/夹克/风衣</v>
      </c>
      <c r="S2" s="94" t="s">
        <v>162</v>
      </c>
      <c r="T2" s="94"/>
      <c r="U2" s="96"/>
      <c r="V2" s="97" t="s">
        <v>163</v>
      </c>
      <c r="W2" s="98"/>
      <c r="X2" s="98"/>
      <c r="Y2" s="97" t="s">
        <v>164</v>
      </c>
      <c r="Z2" s="97" t="s">
        <v>165</v>
      </c>
      <c r="AA2" s="97" t="s">
        <v>166</v>
      </c>
      <c r="AB2" s="97"/>
      <c r="AC2" s="97"/>
      <c r="AD2" s="98"/>
      <c r="AE2" s="97"/>
      <c r="AF2" s="99">
        <f>IFERROR((AH2*0.9)/AG2,"")</f>
        <v>0.299046104928458</v>
      </c>
      <c r="AG2" s="100">
        <v>629</v>
      </c>
      <c r="AH2" s="101">
        <v>209</v>
      </c>
      <c r="AI2" s="102">
        <v>46202</v>
      </c>
      <c r="AJ2" s="102" t="str">
        <f>IFERROR(VLOOKUP(D2,[1]设计下单!A:C,3,0),"")</f>
        <v/>
      </c>
      <c r="AK2" s="103"/>
      <c r="AL2" s="104">
        <f>AM2-9</f>
        <v>46298</v>
      </c>
      <c r="AM2" s="105">
        <f>IF(AO2="",AN2,IF(AO2&gt;AN2,AN2,IF(AO2&lt;AN2,AO2,IF(AN2=AO2,AN2))))</f>
        <v>46307</v>
      </c>
      <c r="AN2" s="104">
        <v>46307</v>
      </c>
      <c r="AO2" s="104">
        <v>46307</v>
      </c>
      <c r="AP2" s="104"/>
      <c r="AQ2" s="104">
        <f>IF(AT2="S",AN2+7,AM2+4)</f>
        <v>46311</v>
      </c>
      <c r="AR2" s="105">
        <f>AM2-8</f>
        <v>46299</v>
      </c>
      <c r="AS2" s="106"/>
      <c r="AT2" s="107"/>
      <c r="AU2" s="108" t="str">
        <f>IF(AS2=0," ","运营重点款")</f>
        <v> </v>
      </c>
      <c r="AV2" s="109"/>
      <c r="AW2" s="110" t="s">
        <v>167</v>
      </c>
      <c r="AX2" s="111" t="s">
        <v>167</v>
      </c>
      <c r="AY2" s="112"/>
      <c r="AZ2" s="112"/>
      <c r="BA2" s="112"/>
      <c r="BB2" s="113"/>
      <c r="BC2" s="112"/>
      <c r="BD2" s="114"/>
      <c r="BE2" s="114"/>
      <c r="BF2" s="112" t="s">
        <v>168</v>
      </c>
      <c r="BG2" s="112" t="s">
        <v>168</v>
      </c>
      <c r="BH2" s="112" t="s">
        <v>169</v>
      </c>
      <c r="BI2" s="112" t="s">
        <v>170</v>
      </c>
      <c r="BJ2" s="112" t="s">
        <v>168</v>
      </c>
      <c r="BK2" s="112" t="s">
        <v>169</v>
      </c>
      <c r="BL2" s="112" t="s">
        <v>171</v>
      </c>
      <c r="BM2" s="112" t="s">
        <v>172</v>
      </c>
      <c r="BN2" s="112" t="s">
        <v>173</v>
      </c>
      <c r="BO2" s="112"/>
      <c r="BP2" s="112"/>
      <c r="BQ2" s="112"/>
      <c r="BR2" s="112"/>
      <c r="BS2" s="115"/>
      <c r="BT2" s="116">
        <f>IF(CA2="",BZ2,IF(CA2&gt;BZ2,BZ2,IF(CA2&lt;BZ2,CA2,IF(BZ2=CA2,BZ2))))</f>
        <v>46262</v>
      </c>
      <c r="BU2" s="117" t="str">
        <f>IFERROR(VLOOKUP(D2,[1]辅助表!A:D,2,0),"")</f>
        <v/>
      </c>
      <c r="BV2" s="118" t="str">
        <f>IFERROR(IF(AND(BU2-BT2&lt;2,BU2&gt;0),"是","否"),"")</f>
        <v/>
      </c>
      <c r="BW2" s="118" t="str">
        <f>IFERROR(BT2-AJ2,"")</f>
        <v/>
      </c>
      <c r="BX2" s="118">
        <f>AM2-BT2</f>
        <v>45</v>
      </c>
      <c r="BY2" s="118"/>
      <c r="BZ2" s="119">
        <v>46262</v>
      </c>
      <c r="CA2" s="119">
        <v>46262</v>
      </c>
      <c r="CB2" s="109" t="str">
        <f>IFERROR(VLOOKUP(D2,[1]辅助表!A:D,3,0),"")</f>
        <v/>
      </c>
      <c r="CC2" s="120" t="str">
        <f>IFERROR(VLOOKUP(D2,[1]辅助表!A:D,4,0),"")</f>
        <v/>
      </c>
      <c r="CD2" s="121">
        <f>IFERROR(VLOOKUP(D2,[1]辅助表!G:H,2,0),"")</f>
        <v>46234</v>
      </c>
      <c r="CE2" s="122">
        <f>WEEKNUM(BT2,2)</f>
        <v>35</v>
      </c>
      <c r="CF2" s="122" t="str">
        <f>MONTH(BT2)&amp;"月"</f>
        <v>8月</v>
      </c>
      <c r="CG2" s="109"/>
      <c r="CH2" s="123"/>
      <c r="CI2" s="124"/>
      <c r="CJ2" s="123"/>
      <c r="CK2" s="123"/>
      <c r="CL2" s="123"/>
      <c r="CM2" s="123"/>
      <c r="CN2" s="123"/>
      <c r="CO2" s="125"/>
      <c r="CP2" s="123"/>
      <c r="CQ2" s="123"/>
      <c r="CR2" s="123"/>
      <c r="CS2" s="123"/>
      <c r="CT2" s="123"/>
      <c r="CU2" s="126"/>
      <c r="CV2" s="127"/>
      <c r="CW2" s="127"/>
      <c r="CX2" s="126"/>
      <c r="CY2" s="128" t="str">
        <f>Z2</f>
        <v>元气萌趣</v>
      </c>
      <c r="CZ2" s="129" t="str">
        <f>AA2</f>
        <v>奶甜童话</v>
      </c>
      <c r="DA2" s="129">
        <f>AE2</f>
        <v>0</v>
      </c>
      <c r="DB2" s="130">
        <f>AS2</f>
        <v>0</v>
      </c>
      <c r="DC2" s="130">
        <f>AT2</f>
        <v>0</v>
      </c>
      <c r="DD2" s="130" t="str">
        <f>BN2</f>
        <v>AI</v>
      </c>
      <c r="DE2" s="131" t="str">
        <f>IF(DW2-5&gt;DH2,"","是")</f>
        <v/>
      </c>
      <c r="DF2" s="131" t="str">
        <f>IF(EP2&gt;EL2,"","是")</f>
        <v/>
      </c>
      <c r="DG2" s="131" t="str">
        <f>IF(EF2&lt;DW2+3,"","是")</f>
        <v/>
      </c>
      <c r="DH2" s="132">
        <f>BT2</f>
        <v>46262</v>
      </c>
      <c r="DI2" s="133" t="str">
        <f>IF(BU2&gt;0,BU2,"")</f>
        <v/>
      </c>
      <c r="DJ2" s="133">
        <f>IF(AM2&gt;0,AM2,"")</f>
        <v>46307</v>
      </c>
      <c r="DK2" s="134">
        <f>IF(AL2&gt;0,AL2,"")</f>
        <v>46298</v>
      </c>
      <c r="DL2" s="135">
        <f>IF(开发明细表!DC2&gt;0,开发明细表!DR2-3,开发明细表!DJ2-25)</f>
        <v>46282</v>
      </c>
      <c r="DM2" s="136"/>
      <c r="DN2" s="137"/>
      <c r="DO2" s="138">
        <f>AS2</f>
        <v>0</v>
      </c>
      <c r="DP2" s="138">
        <f>AT2</f>
        <v>0</v>
      </c>
      <c r="DQ2" s="139" t="str">
        <f ca="1">IF(AND(DM2&lt;=DL2,DM2&gt;0),"准期",IF(DM2&gt;DL2,"延期",IF(DL2&gt;TODAY(),"未到考核期",IF(DL2&lt;TODAY(),"延期",IF(DM2=0,"最后一天")))))</f>
        <v>延期</v>
      </c>
      <c r="DR2" s="140">
        <f>DW2-7</f>
        <v>46277</v>
      </c>
      <c r="DS2" s="136"/>
      <c r="DT2" s="137"/>
      <c r="DU2" s="137" t="str">
        <f ca="1">IF(AND(DS2&lt;=DR2,DS2&gt;0),"准期",IF(DS2&gt;DR2,"延期",IF(DR2&gt;TODAY(),"未到考核期",IF(DR2&lt;TODAY(),"延期",IF(DS2=0,"最后一天")))))</f>
        <v>延期</v>
      </c>
      <c r="DV2" s="137"/>
      <c r="DW2" s="135">
        <f>EP2-7</f>
        <v>46284</v>
      </c>
      <c r="DX2" s="141"/>
      <c r="DY2" s="142"/>
      <c r="DZ2" s="142"/>
      <c r="EA2" s="142"/>
      <c r="EB2" s="142"/>
      <c r="EC2" s="143" t="str">
        <f ca="1">IF(AND(DX2&lt;=DW2,DX2&gt;0),"准期",IF(DX2&gt;DW2,"延期",IF(DW2&gt;TODAY(),"未到考核期",IF(DW2&lt;TODAY(),"延期",IF(DX2=0,"最后一天")))))</f>
        <v>延期</v>
      </c>
      <c r="ED2" s="143"/>
      <c r="EE2" s="144"/>
      <c r="EF2" s="135">
        <f>DH2+6</f>
        <v>46268</v>
      </c>
      <c r="EG2" s="136"/>
      <c r="EH2" s="138"/>
      <c r="EI2" s="138"/>
      <c r="EJ2" s="138">
        <f>DW2-EF2</f>
        <v>16</v>
      </c>
      <c r="EK2" s="139" t="str">
        <f ca="1">IF(AND(EG2&lt;=EF2,EG2&gt;0),"准期",IF(EG2&gt;EF2,"延期",IF(EF2&gt;TODAY(),"未到考核期",IF(EF2&lt;TODAY(),"延期",IF(EG2=0,"最后一天")))))</f>
        <v>延期</v>
      </c>
      <c r="EL2" s="135">
        <f>EF2+6</f>
        <v>46274</v>
      </c>
      <c r="EM2" s="136"/>
      <c r="EN2" s="142"/>
      <c r="EO2" s="145" t="str">
        <f ca="1">IF(AND(EM2&lt;=EL2,EM2&gt;0),"准期",IF(EM2&gt;EL2,"延期",IF(EL2&gt;TODAY(),"未到考核期",IF(EL2&lt;TODAY(),"延期",IF(EM2=0,"最后一天")))))</f>
        <v>延期</v>
      </c>
      <c r="EP2" s="135">
        <f>FB2-6</f>
        <v>46291</v>
      </c>
      <c r="EQ2" s="136"/>
      <c r="ER2" s="137"/>
      <c r="ES2" s="138"/>
      <c r="ET2" s="137"/>
      <c r="EU2" s="137"/>
      <c r="EV2" s="139" t="str">
        <f ca="1">IF(AND(EQ2&lt;=EP2,EQ2&gt;0),"准期",IF(EQ2&gt;EP2,"延期",IF(EP2&gt;TODAY(),"未到考核期",IF(EP2&lt;TODAY(),"延期",IF(EQ2=0,"最后一天")))))</f>
        <v>延期</v>
      </c>
      <c r="EW2" s="135">
        <f>AM2-12</f>
        <v>46295</v>
      </c>
      <c r="EX2" s="136"/>
      <c r="EY2" s="146"/>
      <c r="EZ2" s="138">
        <f>EW2-EP2</f>
        <v>4</v>
      </c>
      <c r="FA2" s="139" t="str">
        <f ca="1">IF(AND(EX2&lt;=EW2,EX2&gt;0),"准期",IF(EX2&gt;EW2,"延期",IF(EW2&gt;TODAY(),"未到考核期",IF(EW2&lt;TODAY(),"延期",IF(EX2=0,"最后一天")))))</f>
        <v>延期</v>
      </c>
      <c r="FB2" s="135">
        <f>DK2-1</f>
        <v>46297</v>
      </c>
      <c r="FC2" s="137"/>
      <c r="FD2" s="137"/>
      <c r="FE2" s="147" t="str">
        <f ca="1">IF(AND(FC2&lt;=FB2,FC2&gt;0),"准期",IF(FC2&gt;FB2,"延期",IF(FB2&gt;TODAY(),"未到考核期",IF(FB2&lt;TODAY(),"延期",IF(FC2=0,"最后一天")))))</f>
        <v>延期</v>
      </c>
      <c r="FF2" s="148"/>
      <c r="FG2" s="149"/>
      <c r="FH2" s="150"/>
      <c r="FI2" s="151"/>
      <c r="FJ2" s="152"/>
      <c r="FK2" s="135">
        <f>AM2-20</f>
        <v>46287</v>
      </c>
      <c r="FL2" s="153"/>
      <c r="FM2" s="153" t="str">
        <f>IFERROR(VLOOKUP(D2,[1]报告专用表!H:J,3,0),"")</f>
        <v/>
      </c>
      <c r="FN2" s="153" t="str">
        <f>IFERROR(VLOOKUP(D2,[1]报告专用表!A:D,4,0),"")</f>
        <v/>
      </c>
      <c r="FO2" s="154" t="str">
        <f>IFERROR(VLOOKUP(L2,[1]辅助表!K:N,4,0),"")</f>
        <v>否</v>
      </c>
      <c r="FP2" s="154" t="str">
        <f>IFERROR(VLOOKUP(D2,[1]报告专用表!A:C,3,0),"否")</f>
        <v>否</v>
      </c>
      <c r="FQ2" s="155" t="str">
        <f ca="1">IF(AND(FO2="否",FP2="否"),"不考核",IF(AND(FL2&lt;=FK2,FL2&gt;0),"准期",IF(FL2&gt;FK2,"延期",IF(FK2&gt;TODAY(),"未到考核期",IF(FK2&lt;TODAY(),"延期",IF(FL2=0,"最后一天"))))))</f>
        <v>不考核</v>
      </c>
    </row>
    <row r="3" customHeight="1" spans="1:173">
      <c r="A3" s="88" t="s">
        <v>157</v>
      </c>
      <c r="B3" s="88" t="s">
        <v>158</v>
      </c>
      <c r="C3" s="89" t="str">
        <f>IFERROR(VLOOKUP(D3,[1]货期表关联!A:A,1,0),"")</f>
        <v>JJG64887</v>
      </c>
      <c r="D3" s="90" t="s">
        <v>174</v>
      </c>
      <c r="E3" s="88" t="str">
        <f>_xlfn.DISPIMG("ID_F3A2018B665E47BC84B9B3AE494F1243",1)</f>
        <v>=DISPIMG("ID_F3A2018B665E47BC84B9B3AE494F1243",1)</v>
      </c>
      <c r="F3" s="88" t="str">
        <f>MID(D3,5,1)</f>
        <v>4</v>
      </c>
      <c r="G3" s="88" t="str">
        <f>MID(D3,3,1)</f>
        <v>G</v>
      </c>
      <c r="H3" s="91">
        <v>1</v>
      </c>
      <c r="I3" s="88" t="str">
        <f>IF(F3="1","春款",IF(F3="2","夏款",IF(F3="5","深秋",IF(F3="3","秋款",IF(F3="0","通季",IF(F3="4","冬款",""))))))</f>
        <v>冬款</v>
      </c>
      <c r="J3" s="88" t="str">
        <f>IF(G3="G","女童",IF(G3="N","中性",IF(G3="B","男童")))</f>
        <v>女童</v>
      </c>
      <c r="K3" s="88" t="str">
        <f>VLOOKUP(L3,[1]辅助表!K:M,2,0)</f>
        <v>大童</v>
      </c>
      <c r="L3" s="92" t="s">
        <v>160</v>
      </c>
      <c r="M3" s="93" t="str">
        <f>VLOOKUP(MID(D3,2,1),[1]辅助表!W:X,2,0)</f>
        <v>13外套</v>
      </c>
      <c r="N3" s="93" t="s">
        <v>161</v>
      </c>
      <c r="O3" s="93"/>
      <c r="P3" s="93"/>
      <c r="Q3" s="94" t="str">
        <f>VLOOKUP(L3,[1]辅助表!K:M,3,0)</f>
        <v>儿童</v>
      </c>
      <c r="R3" s="95" t="str">
        <f>IFERROR(VLOOKUP(M3&amp;Q3,[1]辅助表!R:S,2,0),"")</f>
        <v>儿童外套/夹克/风衣</v>
      </c>
      <c r="S3" s="94" t="s">
        <v>162</v>
      </c>
      <c r="T3" s="94"/>
      <c r="U3" s="96"/>
      <c r="V3" s="97" t="s">
        <v>163</v>
      </c>
      <c r="W3" s="98"/>
      <c r="X3" s="98"/>
      <c r="Y3" s="97" t="s">
        <v>175</v>
      </c>
      <c r="Z3" s="97" t="s">
        <v>165</v>
      </c>
      <c r="AA3" s="97" t="s">
        <v>166</v>
      </c>
      <c r="AB3" s="97"/>
      <c r="AC3" s="97"/>
      <c r="AD3" s="98"/>
      <c r="AE3" s="97"/>
      <c r="AF3" s="99">
        <f>IFERROR((AH3*0.9)/AG3,"")</f>
        <v>0.298945518453427</v>
      </c>
      <c r="AG3" s="100">
        <v>569</v>
      </c>
      <c r="AH3" s="101">
        <v>189</v>
      </c>
      <c r="AI3" s="102">
        <v>46202</v>
      </c>
      <c r="AJ3" s="102">
        <f>IFERROR(VLOOKUP(D3,[1]设计下单!A:C,3,0),"")</f>
        <v>46228</v>
      </c>
      <c r="AK3" s="103"/>
      <c r="AL3" s="104">
        <f>AM3-9</f>
        <v>46291</v>
      </c>
      <c r="AM3" s="105">
        <f>IF(AO3="",AN3,IF(AO3&gt;AN3,AN3,IF(AO3&lt;AN3,AO3,IF(AN3=AO3,AN3))))</f>
        <v>46300</v>
      </c>
      <c r="AN3" s="104">
        <v>46300</v>
      </c>
      <c r="AO3" s="104">
        <v>46300</v>
      </c>
      <c r="AP3" s="104"/>
      <c r="AQ3" s="104">
        <f>IF(AT3="S",AN3+7,AM3+4)</f>
        <v>46304</v>
      </c>
      <c r="AR3" s="105">
        <f>AM3-8</f>
        <v>46292</v>
      </c>
      <c r="AS3" s="106"/>
      <c r="AT3" s="107"/>
      <c r="AU3" s="108" t="str">
        <f>IF(AS3=0," ","运营重点款")</f>
        <v> </v>
      </c>
      <c r="AV3" s="109"/>
      <c r="AW3" s="110" t="s">
        <v>176</v>
      </c>
      <c r="AX3" s="111" t="s">
        <v>176</v>
      </c>
      <c r="AY3" s="112"/>
      <c r="AZ3" s="112"/>
      <c r="BA3" s="112"/>
      <c r="BB3" s="113"/>
      <c r="BC3" s="112"/>
      <c r="BD3" s="114"/>
      <c r="BE3" s="114"/>
      <c r="BF3" s="112" t="s">
        <v>177</v>
      </c>
      <c r="BG3" s="112" t="s">
        <v>177</v>
      </c>
      <c r="BH3" s="112" t="s">
        <v>169</v>
      </c>
      <c r="BI3" s="112" t="s">
        <v>170</v>
      </c>
      <c r="BJ3" s="112" t="s">
        <v>177</v>
      </c>
      <c r="BK3" s="112" t="s">
        <v>169</v>
      </c>
      <c r="BL3" s="112" t="s">
        <v>171</v>
      </c>
      <c r="BM3" s="112" t="s">
        <v>172</v>
      </c>
      <c r="BN3" s="112" t="s">
        <v>173</v>
      </c>
      <c r="BO3" s="112"/>
      <c r="BP3" s="112"/>
      <c r="BQ3" s="112"/>
      <c r="BR3" s="112"/>
      <c r="BS3" s="115"/>
      <c r="BT3" s="116">
        <f>IF(CA3="",BZ3,IF(CA3&gt;BZ3,BZ3,IF(CA3&lt;BZ3,CA3,IF(BZ3=CA3,BZ3))))</f>
        <v>46260</v>
      </c>
      <c r="BU3" s="117" t="str">
        <f>IFERROR(VLOOKUP(D3,[1]辅助表!A:D,2,0),"")</f>
        <v/>
      </c>
      <c r="BV3" s="118" t="str">
        <f>IFERROR(IF(AND(BU3-BT3&lt;2,BU3&gt;0),"是","否"),"")</f>
        <v/>
      </c>
      <c r="BW3" s="118">
        <f>IFERROR(BT3-AJ3,"")</f>
        <v>32</v>
      </c>
      <c r="BX3" s="118">
        <f>AM3-BT3</f>
        <v>40</v>
      </c>
      <c r="BY3" s="118"/>
      <c r="BZ3" s="119">
        <v>46260</v>
      </c>
      <c r="CA3" s="119">
        <v>46260</v>
      </c>
      <c r="CB3" s="109" t="str">
        <f>IFERROR(VLOOKUP(D3,[1]辅助表!A:D,3,0),"")</f>
        <v/>
      </c>
      <c r="CC3" s="120" t="str">
        <f>IFERROR(VLOOKUP(D3,[1]辅助表!A:D,4,0),"")</f>
        <v/>
      </c>
      <c r="CD3" s="121">
        <f>IFERROR(VLOOKUP(D3,[1]辅助表!G:H,2,0),"")</f>
        <v>46228</v>
      </c>
      <c r="CE3" s="122">
        <f>WEEKNUM(BT3,2)</f>
        <v>35</v>
      </c>
      <c r="CF3" s="122" t="str">
        <f>MONTH(BT3)&amp;"月"</f>
        <v>8月</v>
      </c>
      <c r="CG3" s="109"/>
      <c r="CH3" s="123"/>
      <c r="CI3" s="124"/>
      <c r="CJ3" s="123"/>
      <c r="CK3" s="123"/>
      <c r="CL3" s="123"/>
      <c r="CM3" s="123"/>
      <c r="CN3" s="123"/>
      <c r="CO3" s="125"/>
      <c r="CP3" s="123"/>
      <c r="CQ3" s="123"/>
      <c r="CR3" s="123"/>
      <c r="CS3" s="123"/>
      <c r="CT3" s="123"/>
      <c r="CU3" s="126"/>
      <c r="CV3" s="127"/>
      <c r="CW3" s="127"/>
      <c r="CX3" s="126"/>
      <c r="CY3" s="128" t="str">
        <f>Z3</f>
        <v>元气萌趣</v>
      </c>
      <c r="CZ3" s="129" t="str">
        <f>AA3</f>
        <v>奶甜童话</v>
      </c>
      <c r="DA3" s="129">
        <f>AE3</f>
        <v>0</v>
      </c>
      <c r="DB3" s="130">
        <f>AS3</f>
        <v>0</v>
      </c>
      <c r="DC3" s="130">
        <f>AT3</f>
        <v>0</v>
      </c>
      <c r="DD3" s="130" t="str">
        <f>BN3</f>
        <v>AI</v>
      </c>
      <c r="DE3" s="131" t="str">
        <f>IF(DW3-5&gt;DH3,"","是")</f>
        <v/>
      </c>
      <c r="DF3" s="131" t="str">
        <f>IF(EP3&gt;EL3,"","是")</f>
        <v/>
      </c>
      <c r="DG3" s="131" t="str">
        <f>IF(EF3&lt;DW3+3,"","是")</f>
        <v/>
      </c>
      <c r="DH3" s="132">
        <f>BT3</f>
        <v>46260</v>
      </c>
      <c r="DI3" s="133" t="str">
        <f>IF(BU3&gt;0,BU3,"")</f>
        <v/>
      </c>
      <c r="DJ3" s="133">
        <f>IF(AM3&gt;0,AM3,"")</f>
        <v>46300</v>
      </c>
      <c r="DK3" s="134">
        <f>IF(AL3&gt;0,AL3,"")</f>
        <v>46291</v>
      </c>
      <c r="DL3" s="135">
        <f>IF(开发明细表!DC3&gt;0,开发明细表!DR3-3,开发明细表!DJ3-25)</f>
        <v>46275</v>
      </c>
      <c r="DM3" s="136"/>
      <c r="DN3" s="137"/>
      <c r="DO3" s="138">
        <f>AS3</f>
        <v>0</v>
      </c>
      <c r="DP3" s="138">
        <f>AT3</f>
        <v>0</v>
      </c>
      <c r="DQ3" s="139" t="str">
        <f ca="1">IF(AND(DM3&lt;=DL3,DM3&gt;0),"准期",IF(DM3&gt;DL3,"延期",IF(DL3&gt;TODAY(),"未到考核期",IF(DL3&lt;TODAY(),"延期",IF(DM3=0,"最后一天")))))</f>
        <v>延期</v>
      </c>
      <c r="DR3" s="140">
        <f>DW3-7</f>
        <v>46270</v>
      </c>
      <c r="DS3" s="136"/>
      <c r="DT3" s="137"/>
      <c r="DU3" s="137" t="str">
        <f ca="1">IF(AND(DS3&lt;=DR3,DS3&gt;0),"准期",IF(DS3&gt;DR3,"延期",IF(DR3&gt;TODAY(),"未到考核期",IF(DR3&lt;TODAY(),"延期",IF(DS3=0,"最后一天")))))</f>
        <v>延期</v>
      </c>
      <c r="DV3" s="137"/>
      <c r="DW3" s="135">
        <f>EP3-7</f>
        <v>46277</v>
      </c>
      <c r="DX3" s="141"/>
      <c r="DY3" s="142"/>
      <c r="DZ3" s="142"/>
      <c r="EA3" s="142"/>
      <c r="EB3" s="142"/>
      <c r="EC3" s="143" t="str">
        <f ca="1">IF(AND(DX3&lt;=DW3,DX3&gt;0),"准期",IF(DX3&gt;DW3,"延期",IF(DW3&gt;TODAY(),"未到考核期",IF(DW3&lt;TODAY(),"延期",IF(DX3=0,"最后一天")))))</f>
        <v>延期</v>
      </c>
      <c r="ED3" s="143"/>
      <c r="EE3" s="144"/>
      <c r="EF3" s="135">
        <f>DH3+6</f>
        <v>46266</v>
      </c>
      <c r="EG3" s="136"/>
      <c r="EH3" s="138"/>
      <c r="EI3" s="138"/>
      <c r="EJ3" s="138">
        <f>DW3-EF3</f>
        <v>11</v>
      </c>
      <c r="EK3" s="139" t="str">
        <f ca="1">IF(AND(EG3&lt;=EF3,EG3&gt;0),"准期",IF(EG3&gt;EF3,"延期",IF(EF3&gt;TODAY(),"未到考核期",IF(EF3&lt;TODAY(),"延期",IF(EG3=0,"最后一天")))))</f>
        <v>延期</v>
      </c>
      <c r="EL3" s="135">
        <f>EF3+6</f>
        <v>46272</v>
      </c>
      <c r="EM3" s="136"/>
      <c r="EN3" s="142"/>
      <c r="EO3" s="145" t="str">
        <f ca="1">IF(AND(EM3&lt;=EL3,EM3&gt;0),"准期",IF(EM3&gt;EL3,"延期",IF(EL3&gt;TODAY(),"未到考核期",IF(EL3&lt;TODAY(),"延期",IF(EM3=0,"最后一天")))))</f>
        <v>延期</v>
      </c>
      <c r="EP3" s="135">
        <f>FB3-6</f>
        <v>46284</v>
      </c>
      <c r="EQ3" s="136"/>
      <c r="ER3" s="137"/>
      <c r="ES3" s="138"/>
      <c r="ET3" s="137"/>
      <c r="EU3" s="137"/>
      <c r="EV3" s="139" t="str">
        <f ca="1">IF(AND(EQ3&lt;=EP3,EQ3&gt;0),"准期",IF(EQ3&gt;EP3,"延期",IF(EP3&gt;TODAY(),"未到考核期",IF(EP3&lt;TODAY(),"延期",IF(EQ3=0,"最后一天")))))</f>
        <v>延期</v>
      </c>
      <c r="EW3" s="135">
        <f>AM3-12</f>
        <v>46288</v>
      </c>
      <c r="EX3" s="136"/>
      <c r="EY3" s="146"/>
      <c r="EZ3" s="138">
        <f>EW3-EP3</f>
        <v>4</v>
      </c>
      <c r="FA3" s="139" t="str">
        <f ca="1">IF(AND(EX3&lt;=EW3,EX3&gt;0),"准期",IF(EX3&gt;EW3,"延期",IF(EW3&gt;TODAY(),"未到考核期",IF(EW3&lt;TODAY(),"延期",IF(EX3=0,"最后一天")))))</f>
        <v>延期</v>
      </c>
      <c r="FB3" s="135">
        <f>DK3-1</f>
        <v>46290</v>
      </c>
      <c r="FC3" s="137"/>
      <c r="FD3" s="137"/>
      <c r="FE3" s="147" t="str">
        <f ca="1">IF(AND(FC3&lt;=FB3,FC3&gt;0),"准期",IF(FC3&gt;FB3,"延期",IF(FB3&gt;TODAY(),"未到考核期",IF(FB3&lt;TODAY(),"延期",IF(FC3=0,"最后一天")))))</f>
        <v>延期</v>
      </c>
      <c r="FF3" s="148"/>
      <c r="FG3" s="149"/>
      <c r="FH3" s="150"/>
      <c r="FI3" s="151"/>
      <c r="FJ3" s="152"/>
      <c r="FK3" s="135">
        <f>AM3-20</f>
        <v>46280</v>
      </c>
      <c r="FL3" s="153"/>
      <c r="FM3" s="153" t="str">
        <f>IFERROR(VLOOKUP(D3,[1]报告专用表!H:J,3,0),"")</f>
        <v/>
      </c>
      <c r="FN3" s="153" t="str">
        <f>IFERROR(VLOOKUP(D3,[1]报告专用表!A:D,4,0),"")</f>
        <v/>
      </c>
      <c r="FO3" s="154" t="str">
        <f>IFERROR(VLOOKUP(L3,[1]辅助表!K:N,4,0),"")</f>
        <v>否</v>
      </c>
      <c r="FP3" s="154" t="str">
        <f>IFERROR(VLOOKUP(D3,[1]报告专用表!A:C,3,0),"否")</f>
        <v>否</v>
      </c>
      <c r="FQ3" s="155" t="str">
        <f ca="1">IF(AND(FO3="否",FP3="否"),"不考核",IF(AND(FL3&lt;=FK3,FL3&gt;0),"准期",IF(FL3&gt;FK3,"延期",IF(FK3&gt;TODAY(),"未到考核期",IF(FK3&lt;TODAY(),"延期",IF(FL3=0,"最后一天"))))))</f>
        <v>不考核</v>
      </c>
    </row>
    <row r="4" customHeight="1" spans="1:173">
      <c r="AR4" s="156"/>
    </row>
    <row r="5" customHeight="1" spans="1:173">
      <c r="AR5" s="156"/>
    </row>
    <row r="6" customHeight="1" spans="1:173">
      <c r="AR6" s="156"/>
    </row>
  </sheetData>
  <sheetProtection formatCells="0" formatColumns="0" formatRows="0" insertRows="0" insertColumns="0" insertHyperlinks="0" deleteColumns="0" deleteRows="0" sort="0" autoFilter="0" pivotTables="0"/>
  <protectedRanges>
    <protectedRange sqref="AQ$1:CX$1048576 A1:AO1 A2:AO1047336" name="Range1"/>
    <protectedRange sqref="CY$1:DL$1048576 DU$1:DU$1048576 DW$1:DW$1048576 EC$1:EC$1048576 EE$1:EF$1048576 EJ$1:EL$1048576 EO$1:EP$1048576 EV$1:EW$1048576 DL$1:DL$1048576 FB$1:FB$1048576 FE$1:FE$1048576" name="Range2"/>
    <protectedRange sqref="FK$1:FK$1048576 FQ$1:FQ$1048576 FO$1:FO$1048576 EZ$1:EZ$1048576 FK$1:FK$1048576 FQ$1:FQ$1048576 FO$1:FO$1048576 EZ$1:EZ$1048576 FK$1:FK$1048576 FQ$1:FQ$1048576 FO$1:FO$1048576 EZ$1:EZ$1048576 FK$1:FK$1048576 FQ$1:FQ$1048576 FO$1:FO$1048576 EZ$1:EZ$1048576 DO$1:DP$1048576" name="Range3"/>
  </protectedRanges>
  <autoFilter xmlns:etc="http://www.wps.cn/officeDocument/2017/etCustomData" ref="A1:FQ3" etc:filterBottomFollowUsedRange="0">
    <extLst/>
  </autoFilter>
  <conditionalFormatting sqref="C2:C3">
    <cfRule type="duplicateValues" dxfId="0" priority="78"/>
  </conditionalFormatting>
  <conditionalFormatting sqref="D1:D3">
    <cfRule type="expression" dxfId="1" priority="88">
      <formula>AND(SUMPRODUCT(IFERROR(1*(($D$1:$D$3&amp;"x")=(D1&amp;"x")),0))&gt;1,NOT(ISBLANK(D1)))</formula>
    </cfRule>
  </conditionalFormatting>
  <dataValidations count="1">
    <dataValidation type="date" operator="greaterThanOrEqual" allowBlank="1" showErrorMessage="1" errorTitle="输入内容有误" error="请输入正确的日期" sqref="EY1:EY3">
      <formula1>1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1344395435" otherUserPermission="visible">
    <arrUserId title="Range1" rangeCreator="" othersAccessPermission="visible">
      <userID accessPermission="edit">1344395435</userID>
      <userID accessPermission="edit">786209090</userID>
      <userID accessPermission="edit">1609418998</userID>
    </arrUserId>
    <arrUserId title="Range2" rangeCreator="" othersAccessPermission="visible">
      <userID accessPermission="edit">1344395435</userID>
      <userID accessPermission="edit">786209090</userID>
      <userID accessPermission="edit">1609418998</userID>
    </arrUserId>
    <arrUserId title="Range3" rangeCreator="" othersAccessPermission="visible">
      <userID accessPermission="edit">1344395435</userID>
      <userID accessPermission="edit">1609418998</userID>
      <userID accessPermission="edit">786209090</userID>
    </arrUserId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JAVA-刘冬君</cp:lastModifiedBy>
  <dcterms:created xsi:type="dcterms:W3CDTF">2026-07-28T06:31:00Z</dcterms:created>
  <dcterms:modified xsi:type="dcterms:W3CDTF">2026-10-21T02:31:30Z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7803FCAB20F44325ABAAE7079264D0F5_11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